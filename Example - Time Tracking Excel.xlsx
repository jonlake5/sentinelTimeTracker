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tineltech365-my.sharepoint.com/personal/jlake_sentinel_com/Documents/Documents/Coding/TimeEntry-Tampermonkey/"/>
    </mc:Choice>
  </mc:AlternateContent>
  <xr:revisionPtr revIDLastSave="1108" documentId="8_{33648ED4-A4DB-41CF-8BC5-CC71B52D30A8}" xr6:coauthVersionLast="47" xr6:coauthVersionMax="47" xr10:uidLastSave="{87D3C416-55B0-4553-BCD9-99AAA5E69768}"/>
  <bookViews>
    <workbookView xWindow="-120" yWindow="-120" windowWidth="29040" windowHeight="15720" activeTab="1" xr2:uid="{BA0B4115-3D2D-4F3B-BCF9-11BB5874BF0E}"/>
  </bookViews>
  <sheets>
    <sheet name="Time Tracking" sheetId="1" r:id="rId1"/>
    <sheet name="Archive" sheetId="3" r:id="rId2"/>
    <sheet name="Active Projects" sheetId="4" r:id="rId3"/>
    <sheet name="Data Valida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 a="1"/>
  <c r="M63" i="3" a="1"/>
  <c r="M46" i="3" a="1"/>
  <c r="M45" i="3" a="1"/>
  <c r="M28" i="1" a="1"/>
  <c r="M48" i="3" a="1"/>
  <c r="M31" i="1" a="1"/>
  <c r="M38" i="1" a="1"/>
  <c r="M49" i="1" a="1"/>
  <c r="M65" i="3" a="1"/>
  <c r="M34" i="1" a="1"/>
  <c r="M48" i="1" a="1"/>
  <c r="M21" i="1" a="1"/>
  <c r="M66" i="3" a="1"/>
  <c r="M54" i="3" a="1"/>
  <c r="M47" i="1" a="1"/>
  <c r="M8" i="1" a="1"/>
  <c r="M1" i="1" a="1"/>
  <c r="M7" i="1" a="1"/>
  <c r="M41" i="3" a="1"/>
  <c r="M4" i="1" a="1"/>
  <c r="M40" i="1" a="1"/>
  <c r="M58" i="3" a="1"/>
  <c r="M49" i="3" a="1"/>
  <c r="M35" i="1" a="1"/>
  <c r="M51" i="3" a="1"/>
  <c r="M20" i="1" a="1"/>
  <c r="M41" i="1" a="1"/>
  <c r="M25" i="1" a="1"/>
  <c r="M32" i="1" a="1"/>
  <c r="M45" i="1" a="1"/>
  <c r="M9" i="1" a="1"/>
  <c r="M57" i="3" a="1"/>
  <c r="M44" i="1" a="1"/>
  <c r="M46" i="1" a="1"/>
  <c r="M11" i="1" a="1"/>
  <c r="M16" i="1" a="1"/>
  <c r="M56" i="3" a="1"/>
  <c r="M26" i="1" a="1"/>
  <c r="M23" i="1" a="1"/>
  <c r="M42" i="1" a="1"/>
  <c r="M53" i="3" a="1"/>
  <c r="M5" i="1" a="1"/>
  <c r="M62" i="3" a="1"/>
  <c r="M14" i="1" a="1"/>
  <c r="M27" i="1" a="1"/>
  <c r="M6" i="1" a="1"/>
  <c r="M42" i="3" a="1"/>
  <c r="M59" i="3" a="1"/>
  <c r="M44" i="3" a="1"/>
  <c r="M40" i="3" a="1"/>
  <c r="M55" i="3" a="1"/>
  <c r="M17" i="1" a="1"/>
  <c r="M29" i="1" a="1"/>
  <c r="M12" i="1" a="1"/>
  <c r="M37" i="1" a="1"/>
  <c r="M64" i="3" a="1"/>
  <c r="M67" i="3" a="1"/>
  <c r="M24" i="1" a="1"/>
  <c r="M61" i="3" a="1"/>
  <c r="M39" i="1" a="1"/>
  <c r="M43" i="3" a="1"/>
  <c r="M10" i="1" a="1"/>
  <c r="M18" i="1" a="1"/>
  <c r="M33" i="1" a="1"/>
  <c r="M15" i="1" a="1"/>
  <c r="M60" i="3" a="1"/>
  <c r="M36" i="1" a="1"/>
  <c r="M43" i="1" a="1"/>
  <c r="M50" i="3" a="1"/>
  <c r="M19" i="1" a="1"/>
  <c r="M22" i="1" a="1"/>
  <c r="M47" i="3" a="1"/>
  <c r="M3" i="1" a="1"/>
  <c r="M30" i="1" a="1"/>
  <c r="M13" i="1" a="1"/>
  <c r="M52" i="3" a="1"/>
  <c r="M52" i="3" l="1"/>
  <c r="M13" i="1"/>
  <c r="M30" i="1"/>
  <c r="M3" i="1"/>
  <c r="M47" i="3"/>
  <c r="M22" i="1"/>
  <c r="M19" i="1"/>
  <c r="M50" i="3"/>
  <c r="M43" i="1"/>
  <c r="M36" i="1"/>
  <c r="M60" i="3"/>
  <c r="M15" i="1"/>
  <c r="M33" i="1"/>
  <c r="M18" i="1"/>
  <c r="M10" i="1"/>
  <c r="M43" i="3"/>
  <c r="M39" i="1"/>
  <c r="M61" i="3"/>
  <c r="M24" i="1"/>
  <c r="M67" i="3"/>
  <c r="M64" i="3"/>
  <c r="M37" i="1"/>
  <c r="M12" i="1"/>
  <c r="M29" i="1"/>
  <c r="M17" i="1"/>
  <c r="M55" i="3"/>
  <c r="M40" i="3"/>
  <c r="M44" i="3"/>
  <c r="M59" i="3"/>
  <c r="M42" i="3"/>
  <c r="M6" i="1"/>
  <c r="M27" i="1"/>
  <c r="M14" i="1"/>
  <c r="M62" i="3"/>
  <c r="M5" i="1"/>
  <c r="M53" i="3"/>
  <c r="M42" i="1"/>
  <c r="M23" i="1"/>
  <c r="M26" i="1"/>
  <c r="M56" i="3"/>
  <c r="M16" i="1"/>
  <c r="M11" i="1"/>
  <c r="M46" i="1"/>
  <c r="M44" i="1"/>
  <c r="M57" i="3"/>
  <c r="M9" i="1"/>
  <c r="M45" i="1"/>
  <c r="M32" i="1"/>
  <c r="M25" i="1"/>
  <c r="M41" i="1"/>
  <c r="M20" i="1"/>
  <c r="M51" i="3"/>
  <c r="M35" i="1"/>
  <c r="M49" i="3"/>
  <c r="M58" i="3"/>
  <c r="M40" i="1"/>
  <c r="M4" i="1"/>
  <c r="M41" i="3"/>
  <c r="M7" i="1"/>
  <c r="M1" i="1"/>
  <c r="M8" i="1"/>
  <c r="M47" i="1"/>
  <c r="M54" i="3"/>
  <c r="M66" i="3"/>
  <c r="M21" i="1"/>
  <c r="M48" i="1"/>
  <c r="M34" i="1"/>
  <c r="M65" i="3"/>
  <c r="M49" i="1"/>
  <c r="M38" i="1"/>
  <c r="M31" i="1"/>
  <c r="M48" i="3"/>
  <c r="M28" i="1"/>
  <c r="M45" i="3"/>
  <c r="M46" i="3"/>
  <c r="M63" i="3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<sst xmlns="http://schemas.openxmlformats.org/spreadsheetml/2006/main" count="1684" uniqueCount="253">
  <si>
    <t>Date</t>
  </si>
  <si>
    <t>Company</t>
  </si>
  <si>
    <t>Project Name</t>
  </si>
  <si>
    <t>Start Time</t>
  </si>
  <si>
    <t>End Time</t>
  </si>
  <si>
    <t>Short Description</t>
  </si>
  <si>
    <t>Detailed Description</t>
  </si>
  <si>
    <t>Project Activity</t>
  </si>
  <si>
    <t>Show Time As</t>
  </si>
  <si>
    <t>Location</t>
  </si>
  <si>
    <t>Logged</t>
  </si>
  <si>
    <t>Atlas Healthcare Partners-Windows 365 Jumpstart</t>
  </si>
  <si>
    <t>Sylvan, Inc</t>
  </si>
  <si>
    <t>Sylvan-AVD Proof of Concept</t>
  </si>
  <si>
    <t>Reviewed vMX license availability</t>
  </si>
  <si>
    <t>Engineering</t>
  </si>
  <si>
    <t>Assigned Project</t>
  </si>
  <si>
    <t>Sentinel or Home Office</t>
  </si>
  <si>
    <t>Atlas Healthcare Partners</t>
  </si>
  <si>
    <t>Updated Blueprint</t>
  </si>
  <si>
    <t>Raintree Systems</t>
  </si>
  <si>
    <t>Fortis Cyber Security Delivery</t>
  </si>
  <si>
    <t>Updated KSM Key Policy</t>
  </si>
  <si>
    <t>Credit Interlink</t>
  </si>
  <si>
    <t>Credit Interlink-Production to Azure Migration T_M</t>
  </si>
  <si>
    <t>Status Update Meeting</t>
  </si>
  <si>
    <t>NA</t>
  </si>
  <si>
    <t>AVS Audit Dry Run</t>
  </si>
  <si>
    <t>Sales Support</t>
  </si>
  <si>
    <t>Project</t>
  </si>
  <si>
    <t>Update vNet IP Space</t>
  </si>
  <si>
    <t>Sara Lee Frozen Bakery</t>
  </si>
  <si>
    <t>Sara Lee Frozen Bakery-Azure Assessment</t>
  </si>
  <si>
    <t>WK Kellogg Co.</t>
  </si>
  <si>
    <t>WK Kellogg-AVD and Windows 365</t>
  </si>
  <si>
    <t>Wahl Clipper Corp</t>
  </si>
  <si>
    <t>Wahl Clipper-Microsoft AVD</t>
  </si>
  <si>
    <t>City Of Des Plaines</t>
  </si>
  <si>
    <t>City of Des Plaines-Azure Domain Controller Migration</t>
  </si>
  <si>
    <t>Silver Cross Hospital</t>
  </si>
  <si>
    <t>Silver Cross Hospital-Redcap Azure Configuration</t>
  </si>
  <si>
    <t>Provide script for mounting file share</t>
  </si>
  <si>
    <t>EKO</t>
  </si>
  <si>
    <t>Update email to customer and PM, CIP and TAP created</t>
  </si>
  <si>
    <t>Non-Billable Work Hours</t>
  </si>
  <si>
    <t>Project Not Listed</t>
  </si>
  <si>
    <t>Support Operations</t>
  </si>
  <si>
    <t>Out of Town Travel</t>
  </si>
  <si>
    <t>Customer Facility</t>
  </si>
  <si>
    <t>Review vMX licensing options and send to customer</t>
  </si>
  <si>
    <t>Azure CoPilot Assessment Prep</t>
  </si>
  <si>
    <t>PM Touchpoint</t>
  </si>
  <si>
    <t>SC300 Study</t>
  </si>
  <si>
    <t>L.E.K. Consulting LLC</t>
  </si>
  <si>
    <t>L.E.K Consulting-Azure Networking Assessment</t>
  </si>
  <si>
    <t>Status Update with Customer</t>
  </si>
  <si>
    <t>Status Update</t>
  </si>
  <si>
    <t>Internal Sync</t>
  </si>
  <si>
    <t>Setup Azure Migrate Appliance</t>
  </si>
  <si>
    <t>Discuss Disk Migration</t>
  </si>
  <si>
    <t>Review Network Watcher Configuration</t>
  </si>
  <si>
    <t>Staging</t>
  </si>
  <si>
    <t>PM Sync</t>
  </si>
  <si>
    <t>Network Drop issue investigation</t>
  </si>
  <si>
    <t>Continue Azure Migrate Setup</t>
  </si>
  <si>
    <t>Non- Billable Work Hours</t>
  </si>
  <si>
    <t>Time Entry</t>
  </si>
  <si>
    <t>Applied Skills for CoPilot</t>
  </si>
  <si>
    <t>Update HST app in Intune, attempt application deployment, review network issues</t>
  </si>
  <si>
    <t>Review data collection. Have PM request Contributor credentials to create the assessment</t>
  </si>
  <si>
    <t>Review and configure Intune</t>
  </si>
  <si>
    <t>Team Meeting</t>
  </si>
  <si>
    <t>Disk Migration</t>
  </si>
  <si>
    <t>SC-300 Study</t>
  </si>
  <si>
    <t>Verify Access</t>
  </si>
  <si>
    <t>Configure Intune</t>
  </si>
  <si>
    <t>SC300 Exam Prep</t>
  </si>
  <si>
    <t>SC-300 Exam Prep</t>
  </si>
  <si>
    <t>Intune Enrollment</t>
  </si>
  <si>
    <t>SC-300 Exam</t>
  </si>
  <si>
    <t>MS-102 Study</t>
  </si>
  <si>
    <t>MS-102 Exam</t>
  </si>
  <si>
    <t>Discovery</t>
  </si>
  <si>
    <t>MS Audit Review</t>
  </si>
  <si>
    <t>APIM discovery call</t>
  </si>
  <si>
    <t>Setup Monitoring for Log Insights and status meeting</t>
  </si>
  <si>
    <t>Brightstar Care</t>
  </si>
  <si>
    <t>Brightstar Care-Azure Network Services</t>
  </si>
  <si>
    <t>IKO</t>
  </si>
  <si>
    <t>Configure hosts for monitoring</t>
  </si>
  <si>
    <t>Review Metrics and Data Collection</t>
  </si>
  <si>
    <t>Applied Skills</t>
  </si>
  <si>
    <t>Internal review</t>
  </si>
  <si>
    <t>Cloudformation Discussion with Customer</t>
  </si>
  <si>
    <t>Customer Status Call</t>
  </si>
  <si>
    <t>Review Existing App Services Environment</t>
  </si>
  <si>
    <t>National Council of State Boards of Nursing</t>
  </si>
  <si>
    <t>National Council of State Boards of Nursing-Microsoft Resource</t>
  </si>
  <si>
    <t>Environment Review</t>
  </si>
  <si>
    <t>Customer Invterview</t>
  </si>
  <si>
    <t>Floracraft-Azure Landing Zone</t>
  </si>
  <si>
    <t>Floracraft-Azure Server Migrations</t>
  </si>
  <si>
    <t>Floracraft</t>
  </si>
  <si>
    <t>Admin Tasks and Project Task Organization</t>
  </si>
  <si>
    <t>Build out QA environment</t>
  </si>
  <si>
    <t>Troubleshoot QA environment.</t>
  </si>
  <si>
    <t>PM</t>
  </si>
  <si>
    <t>Dan</t>
  </si>
  <si>
    <t>Mychaela</t>
  </si>
  <si>
    <t>Sunshine</t>
  </si>
  <si>
    <t>Security Questionnaire</t>
  </si>
  <si>
    <t>Doug</t>
  </si>
  <si>
    <t>Dave</t>
  </si>
  <si>
    <t>Kent</t>
  </si>
  <si>
    <t>Stew</t>
  </si>
  <si>
    <t>Brie</t>
  </si>
  <si>
    <t>Alex</t>
  </si>
  <si>
    <t>Melissa</t>
  </si>
  <si>
    <t>Tamara</t>
  </si>
  <si>
    <t>Upload Certificate</t>
  </si>
  <si>
    <t>51Credit Interlink</t>
  </si>
  <si>
    <t>SimonMed</t>
  </si>
  <si>
    <t>IT Interview for AVD</t>
  </si>
  <si>
    <t>Update Guard Duty Template</t>
  </si>
  <si>
    <t>APIM Review</t>
  </si>
  <si>
    <t>APIM Troubleshoot 503 error</t>
  </si>
  <si>
    <t>Review what I have with Mike</t>
  </si>
  <si>
    <t>S3 Access Logging Cloud Formation</t>
  </si>
  <si>
    <t>Review Assessment Details</t>
  </si>
  <si>
    <t>Discovery Call</t>
  </si>
  <si>
    <t>Interview and Deliverable Creation</t>
  </si>
  <si>
    <t>Follow up internally post discovery meeting</t>
  </si>
  <si>
    <t>Report Generation</t>
  </si>
  <si>
    <t>Brightstar Care-Azure Network Services Review Calls</t>
  </si>
  <si>
    <t>Status Call</t>
  </si>
  <si>
    <t>Peckham Inc</t>
  </si>
  <si>
    <t>Peckham-Microsoft Azure Consulting &amp; LZ Validation</t>
  </si>
  <si>
    <t>Jennifer</t>
  </si>
  <si>
    <t>Review with Peckham team</t>
  </si>
  <si>
    <t>End User Interviews</t>
  </si>
  <si>
    <t>End User Interviews and status update</t>
  </si>
  <si>
    <t>NAT Gateway review</t>
  </si>
  <si>
    <t>Design Blueprint</t>
  </si>
  <si>
    <t>Sync up on Prod Roll Out</t>
  </si>
  <si>
    <t>Interviews</t>
  </si>
  <si>
    <t>AVS Audit Meeting</t>
  </si>
  <si>
    <t>Scope Stack Review/Updates</t>
  </si>
  <si>
    <t>Internal review of SOW</t>
  </si>
  <si>
    <t>Meetup with Stefan</t>
  </si>
  <si>
    <t>Discovery call with Joe</t>
  </si>
  <si>
    <t>Design Review</t>
  </si>
  <si>
    <t>Clark County Library District-Azure Accelerate Assessment</t>
  </si>
  <si>
    <t>Clark County Library District</t>
  </si>
  <si>
    <t>Project Planning and research</t>
  </si>
  <si>
    <t>Build out scope with Ed for Credit Interlink</t>
  </si>
  <si>
    <t>Update Blueprint</t>
  </si>
  <si>
    <t>Status Update and Replication Improvements</t>
  </si>
  <si>
    <t>Follow up design questions</t>
  </si>
  <si>
    <t>AVS Audit</t>
  </si>
  <si>
    <t>AVD Audit</t>
  </si>
  <si>
    <t>Infrastructure stand up</t>
  </si>
  <si>
    <t>Deployment</t>
  </si>
  <si>
    <t>Azure Migrate Appliance Deployment Instructions</t>
  </si>
  <si>
    <t>SFTP Review</t>
  </si>
  <si>
    <t>Open ticket to get Live Connect software</t>
  </si>
  <si>
    <t>Test SFTP Connections</t>
  </si>
  <si>
    <t>Internal sync on change order</t>
  </si>
  <si>
    <t>Internal status update</t>
  </si>
  <si>
    <t>Sync with Mike</t>
  </si>
  <si>
    <t>Update App Services custom domain</t>
  </si>
  <si>
    <t>Validate App Services Custom Domain</t>
  </si>
  <si>
    <t>Internal email draft</t>
  </si>
  <si>
    <t>Configure Azure Migrate</t>
  </si>
  <si>
    <t>Update deliverable</t>
  </si>
  <si>
    <t>Scope Stack Review</t>
  </si>
  <si>
    <t>Status Update and Deep Dice into Private Endpoints</t>
  </si>
  <si>
    <t>Review traffic</t>
  </si>
  <si>
    <t>Delivery of Output</t>
  </si>
  <si>
    <t>Build new image with Live Connect</t>
  </si>
  <si>
    <t>Internal review of deliverable</t>
  </si>
  <si>
    <t>Build image with live connect</t>
  </si>
  <si>
    <t>Configure storage account</t>
  </si>
  <si>
    <t>Deliverable Update</t>
  </si>
  <si>
    <t>Private Endpoint Review</t>
  </si>
  <si>
    <t>Updated route table</t>
  </si>
  <si>
    <t>Tested LiveConnect. Sent email for Ric/Richard to test.</t>
  </si>
  <si>
    <t>Verify credentials that were received</t>
  </si>
  <si>
    <t>Status Update and traffic troubleshooting</t>
  </si>
  <si>
    <t>S3 Access Logging CloudFormation</t>
  </si>
  <si>
    <t>Deploy Azure Migrate Appliance</t>
  </si>
  <si>
    <t>Troubleshoot Network Connectivity</t>
  </si>
  <si>
    <t>Network Troubleshooting</t>
  </si>
  <si>
    <t>App Services Overview</t>
  </si>
  <si>
    <t>Document Review</t>
  </si>
  <si>
    <t>Qcr Holdings Inc</t>
  </si>
  <si>
    <t>QCR Holdings-Azure Event Hub</t>
  </si>
  <si>
    <t>SA</t>
  </si>
  <si>
    <t>Soule</t>
  </si>
  <si>
    <t>AM</t>
  </si>
  <si>
    <t>MS102 Study and Exam</t>
  </si>
  <si>
    <t>Stats Update</t>
  </si>
  <si>
    <t>Update document to go over</t>
  </si>
  <si>
    <t>Update cloudtrail template</t>
  </si>
  <si>
    <t>Network Review</t>
  </si>
  <si>
    <t>Status Update and Working Session</t>
  </si>
  <si>
    <t>Review pricing for Redcap resources</t>
  </si>
  <si>
    <t>Create Azure Migrate Groups and Review Data Collection</t>
  </si>
  <si>
    <t>Environment discovery</t>
  </si>
  <si>
    <t>Aurorium</t>
  </si>
  <si>
    <t>Aurorium-Azure Services</t>
  </si>
  <si>
    <t>Ed</t>
  </si>
  <si>
    <t>SPAR Group Inc</t>
  </si>
  <si>
    <t>SPAR Group-Server Project Design</t>
  </si>
  <si>
    <t>SPAR Group-Server Project Build and Migration</t>
  </si>
  <si>
    <t>Deliverable</t>
  </si>
  <si>
    <t>Deliverable Generation</t>
  </si>
  <si>
    <t>Review Deliverable / Meeting Prep</t>
  </si>
  <si>
    <t>ASP Review</t>
  </si>
  <si>
    <t>Verify Creds</t>
  </si>
  <si>
    <t>Status Update and Design Review</t>
  </si>
  <si>
    <t>Deliverable Presentation</t>
  </si>
  <si>
    <t>Credit Interlink-DR_HA Configuration</t>
  </si>
  <si>
    <t>Discovery Call for Production Deployment</t>
  </si>
  <si>
    <t>Cleanup of monitoring</t>
  </si>
  <si>
    <t>Review ADFS</t>
  </si>
  <si>
    <t>Build Personal AVD Pool</t>
  </si>
  <si>
    <t>Status Update and Project Planning</t>
  </si>
  <si>
    <t>Verify Intune Enrollment</t>
  </si>
  <si>
    <t>Review SOW and meeting prep</t>
  </si>
  <si>
    <t>Respond to MS Support Case</t>
  </si>
  <si>
    <t>Discover Call</t>
  </si>
  <si>
    <t>Update Intune Group Membership</t>
  </si>
  <si>
    <t>Review Design Options</t>
  </si>
  <si>
    <t>Intune app review</t>
  </si>
  <si>
    <t>Verify Software Installation</t>
  </si>
  <si>
    <t>Update proposed architecture</t>
  </si>
  <si>
    <t>Update design blueprint</t>
  </si>
  <si>
    <t>Review Azure Environment</t>
  </si>
  <si>
    <t>Bradford Exchange Limited</t>
  </si>
  <si>
    <t>Bradford Exchange Ltd-Azure Land Zone-Discovery_Workshops_Documentation</t>
  </si>
  <si>
    <t>Bradford Exchange Ltd-Azure Land Zone-All Remaining Phases</t>
  </si>
  <si>
    <t>George Garbis</t>
  </si>
  <si>
    <t>Kyle Donnelly</t>
  </si>
  <si>
    <t>Justin Coffey</t>
  </si>
  <si>
    <t>Environment Staging Process</t>
  </si>
  <si>
    <t>Determine how to facilitate quick deployment with production and how to roll into a DR environment</t>
  </si>
  <si>
    <t>Review Zendesk, create script to analyze CPU usage per app in app service plan</t>
  </si>
  <si>
    <t>Design Review with customer</t>
  </si>
  <si>
    <t>Help Tamara with Time Entry Script</t>
  </si>
  <si>
    <t>Internal Review of Deliverable</t>
  </si>
  <si>
    <t>cr Holdings Inc</t>
  </si>
  <si>
    <t>Business Unit</t>
  </si>
  <si>
    <t>Enterprise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</si>
</sst>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81B1D"/>
      <name val="Lato"/>
      <family val="2"/>
    </font>
    <font>
      <b/>
      <sz val="11"/>
      <color theme="1"/>
      <name val="Aptos Narrow"/>
      <family val="2"/>
      <scheme val="minor"/>
    </font>
    <font>
      <sz val="11"/>
      <color rgb="FF10171A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Protection="1">
      <protection hidden="1"/>
    </xf>
    <xf numFmtId="0" fontId="4" fillId="0" borderId="0" xfId="0" applyFont="1"/>
    <xf numFmtId="0" fontId="4" fillId="2" borderId="0" xfId="0" applyFont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entinel.service-now.com/core_company.do?sys_id=d30a30afc3091610287f2130a001319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281C-4F66-4ABC-A75A-C67127161551}">
  <dimension ref="A1:Z49"/>
  <sheetViews>
    <sheetView topLeftCell="F1" workbookViewId="0">
      <selection activeCell="K3" sqref="K3:K49"/>
    </sheetView>
  </sheetViews>
  <sheetFormatPr defaultRowHeight="15" x14ac:dyDescent="0.25"/>
  <cols>
    <col min="1" max="1" width="10.42578125" style="1" bestFit="1" customWidth="1"/>
    <col min="2" max="2" width="23.7109375" bestFit="1" customWidth="1"/>
    <col min="3" max="3" width="39.85546875" customWidth="1"/>
    <col min="4" max="4" width="9.7109375" bestFit="1" customWidth="1"/>
    <col min="5" max="5" width="9.42578125" bestFit="1" customWidth="1"/>
    <col min="6" max="7" width="34.140625" bestFit="1" customWidth="1"/>
    <col min="8" max="8" width="13.85546875" bestFit="1" customWidth="1"/>
    <col min="9" max="9" width="23.28515625" bestFit="1" customWidth="1"/>
    <col min="10" max="11" width="21.85546875" bestFit="1" customWidth="1"/>
    <col min="12" max="12" width="7.140625" bestFit="1" customWidth="1"/>
    <col min="13" max="26" width="9.140625" style="5"/>
  </cols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251</v>
      </c>
      <c r="L1" t="s">
        <v>10</v>
      </c>
      <c r="M1" s="5" t="str" cm="1">
        <f t="array" aca="1" ref="M1" ca="1">_xlfn.TEXTSPLIT(_xlfn.TEXTJOIN(",",TRUE,_xlfn._xlws.FILTER('Active Projects'!B:B, 'Active Projects'!A:A=INDIRECT("B"&amp;ROW()))),",")</f>
        <v>Project</v>
      </c>
    </row>
    <row r="2" spans="1:14" x14ac:dyDescent="0.25">
      <c r="A2" s="1">
        <v>45964</v>
      </c>
      <c r="B2" t="s">
        <v>102</v>
      </c>
      <c r="C2" t="s">
        <v>100</v>
      </c>
      <c r="D2">
        <v>14</v>
      </c>
      <c r="E2">
        <v>15</v>
      </c>
      <c r="F2" t="s">
        <v>142</v>
      </c>
      <c r="G2" t="s">
        <v>142</v>
      </c>
      <c r="H2" t="s">
        <v>15</v>
      </c>
      <c r="I2" t="s">
        <v>16</v>
      </c>
      <c r="J2" t="s">
        <v>17</v>
      </c>
      <c r="K2" t="s">
        <v>252</v>
      </c>
      <c r="M2" s="5" t="str" cm="1">
        <f t="array" aca="1" ref="M2:N2" ca="1">_xlfn.TEXTSPLIT(_xlfn.TEXTJOIN(",",TRUE,_xlfn._xlws.FILTER('Active Projects'!B:B, 'Active Projects'!A:A=INDIRECT("B"&amp;ROW()))),",")</f>
        <v>Floracraft-Azure Landing Zone</v>
      </c>
      <c r="N2" s="5" t="str">
        <f ca="1"/>
        <v>Floracraft-Azure Server Migrations</v>
      </c>
    </row>
    <row r="3" spans="1:14" x14ac:dyDescent="0.25">
      <c r="A3" s="1">
        <v>45964</v>
      </c>
      <c r="B3" t="s">
        <v>23</v>
      </c>
      <c r="C3" t="s">
        <v>24</v>
      </c>
      <c r="D3">
        <v>15</v>
      </c>
      <c r="E3">
        <v>15.5</v>
      </c>
      <c r="F3" t="s">
        <v>56</v>
      </c>
      <c r="G3" t="s">
        <v>56</v>
      </c>
      <c r="H3" t="s">
        <v>15</v>
      </c>
      <c r="I3" t="s">
        <v>16</v>
      </c>
      <c r="J3" t="s">
        <v>17</v>
      </c>
      <c r="K3" t="s">
        <v>252</v>
      </c>
      <c r="M3" s="5" t="str" cm="1">
        <f t="array" aca="1" ref="M3:N3" ca="1">_xlfn.TEXTSPLIT(_xlfn.TEXTJOIN(",",TRUE,_xlfn._xlws.FILTER('Active Projects'!B:B, 'Active Projects'!A:A=INDIRECT("B"&amp;ROW()))),",")</f>
        <v>Credit Interlink-Production to Azure Migration T_M</v>
      </c>
      <c r="N3" s="5" t="str">
        <f ca="1"/>
        <v>Credit Interlink-DR_HA Configuration</v>
      </c>
    </row>
    <row r="4" spans="1:14" x14ac:dyDescent="0.25">
      <c r="A4" s="1">
        <v>45964</v>
      </c>
      <c r="B4" t="s">
        <v>250</v>
      </c>
      <c r="C4" t="s">
        <v>195</v>
      </c>
      <c r="D4">
        <v>15.5</v>
      </c>
      <c r="E4">
        <v>16</v>
      </c>
      <c r="F4" t="s">
        <v>88</v>
      </c>
      <c r="G4" t="s">
        <v>88</v>
      </c>
      <c r="H4" t="s">
        <v>15</v>
      </c>
      <c r="I4" t="s">
        <v>16</v>
      </c>
      <c r="J4" t="s">
        <v>17</v>
      </c>
      <c r="K4" t="s">
        <v>252</v>
      </c>
      <c r="M4" s="5" t="str" cm="1">
        <f t="array" aca="1" ref="M4" ca="1">_xlfn.TEXTSPLIT(_xlfn.TEXTJOIN(",",TRUE,_xlfn._xlws.FILTER('Active Projects'!B:B, 'Active Projects'!A:A=INDIRECT("B"&amp;ROW()))),",")</f>
        <v>QCR Holdings-Azure Event Hub</v>
      </c>
    </row>
    <row r="5" spans="1:14" x14ac:dyDescent="0.25">
      <c r="A5" s="1">
        <v>45964</v>
      </c>
      <c r="B5" t="s">
        <v>102</v>
      </c>
      <c r="C5" t="s">
        <v>100</v>
      </c>
      <c r="D5">
        <v>16</v>
      </c>
      <c r="E5">
        <v>16.5</v>
      </c>
      <c r="F5" t="s">
        <v>142</v>
      </c>
      <c r="G5" t="s">
        <v>142</v>
      </c>
      <c r="H5" t="s">
        <v>15</v>
      </c>
      <c r="I5" t="s">
        <v>16</v>
      </c>
      <c r="J5" t="s">
        <v>17</v>
      </c>
      <c r="K5" t="s">
        <v>252</v>
      </c>
      <c r="M5" s="5" t="str" cm="1">
        <f t="array" aca="1" ref="M5:N5" ca="1">_xlfn.TEXTSPLIT(_xlfn.TEXTJOIN(",",TRUE,_xlfn._xlws.FILTER('Active Projects'!B:B, 'Active Projects'!A:A=INDIRECT("B"&amp;ROW()))),",")</f>
        <v>Floracraft-Azure Landing Zone</v>
      </c>
      <c r="N5" s="5" t="str">
        <f ca="1"/>
        <v>Floracraft-Azure Server Migrations</v>
      </c>
    </row>
    <row r="6" spans="1:14" x14ac:dyDescent="0.25">
      <c r="A6" s="1">
        <v>45965</v>
      </c>
      <c r="B6" t="s">
        <v>102</v>
      </c>
      <c r="C6" t="s">
        <v>100</v>
      </c>
      <c r="D6">
        <v>8.5</v>
      </c>
      <c r="E6">
        <v>9</v>
      </c>
      <c r="F6" t="s">
        <v>142</v>
      </c>
      <c r="G6" t="s">
        <v>142</v>
      </c>
      <c r="H6" t="s">
        <v>15</v>
      </c>
      <c r="I6" t="s">
        <v>16</v>
      </c>
      <c r="J6" t="s">
        <v>17</v>
      </c>
      <c r="K6" t="s">
        <v>252</v>
      </c>
      <c r="M6" s="5" t="str" cm="1">
        <f t="array" aca="1" ref="M6:N6" ca="1">_xlfn.TEXTSPLIT(_xlfn.TEXTJOIN(",",TRUE,_xlfn._xlws.FILTER('Active Projects'!B:B, 'Active Projects'!A:A=INDIRECT("B"&amp;ROW()))),",")</f>
        <v>Floracraft-Azure Landing Zone</v>
      </c>
      <c r="N6" s="5" t="str">
        <f ca="1"/>
        <v>Floracraft-Azure Server Migrations</v>
      </c>
    </row>
    <row r="7" spans="1:14" x14ac:dyDescent="0.25">
      <c r="A7" s="1">
        <v>45965</v>
      </c>
      <c r="B7" t="s">
        <v>208</v>
      </c>
      <c r="C7" t="s">
        <v>209</v>
      </c>
      <c r="D7">
        <v>9</v>
      </c>
      <c r="E7">
        <v>9.5</v>
      </c>
      <c r="F7" t="s">
        <v>57</v>
      </c>
      <c r="G7" t="s">
        <v>57</v>
      </c>
      <c r="H7" t="s">
        <v>15</v>
      </c>
      <c r="I7" t="s">
        <v>16</v>
      </c>
      <c r="J7" t="s">
        <v>17</v>
      </c>
      <c r="K7" t="s">
        <v>252</v>
      </c>
      <c r="M7" s="5" t="str" cm="1">
        <f t="array" aca="1" ref="M7" ca="1">_xlfn.TEXTSPLIT(_xlfn.TEXTJOIN(",",TRUE,_xlfn._xlws.FILTER('Active Projects'!B:B, 'Active Projects'!A:A=INDIRECT("B"&amp;ROW()))),",")</f>
        <v>Aurorium-Azure Services</v>
      </c>
    </row>
    <row r="8" spans="1:14" x14ac:dyDescent="0.25">
      <c r="A8" s="1">
        <v>45965</v>
      </c>
      <c r="B8" t="s">
        <v>102</v>
      </c>
      <c r="C8" t="s">
        <v>100</v>
      </c>
      <c r="D8">
        <v>9.5</v>
      </c>
      <c r="E8">
        <v>10</v>
      </c>
      <c r="F8" t="s">
        <v>142</v>
      </c>
      <c r="G8" t="s">
        <v>142</v>
      </c>
      <c r="H8" t="s">
        <v>15</v>
      </c>
      <c r="I8" t="s">
        <v>16</v>
      </c>
      <c r="J8" t="s">
        <v>17</v>
      </c>
      <c r="K8" t="s">
        <v>252</v>
      </c>
      <c r="M8" s="5" t="str" cm="1">
        <f t="array" aca="1" ref="M8:N8" ca="1">_xlfn.TEXTSPLIT(_xlfn.TEXTJOIN(",",TRUE,_xlfn._xlws.FILTER('Active Projects'!B:B, 'Active Projects'!A:A=INDIRECT("B"&amp;ROW()))),",")</f>
        <v>Floracraft-Azure Landing Zone</v>
      </c>
      <c r="N8" s="5" t="str">
        <f ca="1"/>
        <v>Floracraft-Azure Server Migrations</v>
      </c>
    </row>
    <row r="9" spans="1:14" x14ac:dyDescent="0.25">
      <c r="A9" s="1">
        <v>45965</v>
      </c>
      <c r="B9" t="s">
        <v>152</v>
      </c>
      <c r="C9" t="s">
        <v>151</v>
      </c>
      <c r="D9">
        <v>10</v>
      </c>
      <c r="E9">
        <v>11</v>
      </c>
      <c r="F9" t="s">
        <v>215</v>
      </c>
      <c r="G9" t="s">
        <v>214</v>
      </c>
      <c r="H9" t="s">
        <v>15</v>
      </c>
      <c r="I9" t="s">
        <v>16</v>
      </c>
      <c r="J9" t="s">
        <v>17</v>
      </c>
      <c r="K9" t="s">
        <v>252</v>
      </c>
      <c r="M9" s="5" t="str" cm="1">
        <f t="array" aca="1" ref="M9" ca="1">_xlfn.TEXTSPLIT(_xlfn.TEXTJOIN(",",TRUE,_xlfn._xlws.FILTER('Active Projects'!B:B, 'Active Projects'!A:A=INDIRECT("B"&amp;ROW()))),",")</f>
        <v>Clark County Library District-Azure Accelerate Assessment</v>
      </c>
    </row>
    <row r="10" spans="1:14" x14ac:dyDescent="0.25">
      <c r="A10" s="1">
        <v>45965</v>
      </c>
      <c r="B10" t="s">
        <v>211</v>
      </c>
      <c r="C10" t="s">
        <v>212</v>
      </c>
      <c r="D10">
        <v>11</v>
      </c>
      <c r="E10">
        <v>11.5</v>
      </c>
      <c r="F10" t="s">
        <v>57</v>
      </c>
      <c r="G10" t="s">
        <v>57</v>
      </c>
      <c r="H10" t="s">
        <v>15</v>
      </c>
      <c r="I10" t="s">
        <v>16</v>
      </c>
      <c r="J10" t="s">
        <v>17</v>
      </c>
      <c r="K10" t="s">
        <v>252</v>
      </c>
      <c r="M10" s="5" t="str" cm="1">
        <f t="array" aca="1" ref="M10:N10" ca="1">_xlfn.TEXTSPLIT(_xlfn.TEXTJOIN(",",TRUE,_xlfn._xlws.FILTER('Active Projects'!B:B, 'Active Projects'!A:A=INDIRECT("B"&amp;ROW()))),",")</f>
        <v>SPAR Group-Server Project Design</v>
      </c>
      <c r="N10" s="5" t="str">
        <f ca="1"/>
        <v>SPAR Group-Server Project Build and Migration</v>
      </c>
    </row>
    <row r="11" spans="1:14" x14ac:dyDescent="0.25">
      <c r="A11" s="1">
        <v>45965</v>
      </c>
      <c r="B11" t="s">
        <v>96</v>
      </c>
      <c r="C11" t="s">
        <v>97</v>
      </c>
      <c r="D11">
        <v>11.5</v>
      </c>
      <c r="E11">
        <v>12</v>
      </c>
      <c r="F11" t="s">
        <v>71</v>
      </c>
      <c r="G11" t="s">
        <v>71</v>
      </c>
      <c r="H11" t="s">
        <v>15</v>
      </c>
      <c r="I11" t="s">
        <v>16</v>
      </c>
      <c r="J11" t="s">
        <v>17</v>
      </c>
      <c r="K11" t="s">
        <v>252</v>
      </c>
      <c r="M11" s="5" t="str" cm="1">
        <f t="array" aca="1" ref="M11" ca="1">_xlfn.TEXTSPLIT(_xlfn.TEXTJOIN(",",TRUE,_xlfn._xlws.FILTER('Active Projects'!B:B, 'Active Projects'!A:A=INDIRECT("B"&amp;ROW()))),",")</f>
        <v>National Council of State Boards of Nursing-Microsoft Resource</v>
      </c>
    </row>
    <row r="12" spans="1:14" x14ac:dyDescent="0.25">
      <c r="A12" s="1">
        <v>45965</v>
      </c>
      <c r="B12" t="s">
        <v>53</v>
      </c>
      <c r="C12" t="s">
        <v>54</v>
      </c>
      <c r="D12">
        <v>14</v>
      </c>
      <c r="E12">
        <v>16</v>
      </c>
      <c r="F12" t="s">
        <v>203</v>
      </c>
      <c r="G12" t="s">
        <v>203</v>
      </c>
      <c r="H12" t="s">
        <v>15</v>
      </c>
      <c r="I12" t="s">
        <v>16</v>
      </c>
      <c r="J12" t="s">
        <v>17</v>
      </c>
      <c r="K12" t="s">
        <v>252</v>
      </c>
      <c r="M12" s="5" t="str" cm="1">
        <f t="array" aca="1" ref="M12" ca="1">_xlfn.TEXTSPLIT(_xlfn.TEXTJOIN(",",TRUE,_xlfn._xlws.FILTER('Active Projects'!B:B, 'Active Projects'!A:A=INDIRECT("B"&amp;ROW()))),",")</f>
        <v>L.E.K Consulting-Azure Networking Assessment</v>
      </c>
    </row>
    <row r="13" spans="1:14" x14ac:dyDescent="0.25">
      <c r="A13" s="1">
        <v>45965</v>
      </c>
      <c r="B13" t="s">
        <v>33</v>
      </c>
      <c r="C13" t="s">
        <v>34</v>
      </c>
      <c r="D13">
        <v>16</v>
      </c>
      <c r="E13">
        <v>16.5</v>
      </c>
      <c r="F13" t="s">
        <v>216</v>
      </c>
      <c r="G13" t="s">
        <v>216</v>
      </c>
      <c r="H13" t="s">
        <v>15</v>
      </c>
      <c r="I13" t="s">
        <v>16</v>
      </c>
      <c r="J13" t="s">
        <v>17</v>
      </c>
      <c r="K13" t="s">
        <v>252</v>
      </c>
      <c r="M13" s="5" t="str" cm="1">
        <f t="array" aca="1" ref="M13" ca="1">_xlfn.TEXTSPLIT(_xlfn.TEXTJOIN(",",TRUE,_xlfn._xlws.FILTER('Active Projects'!B:B, 'Active Projects'!A:A=INDIRECT("B"&amp;ROW()))),",")</f>
        <v>WK Kellogg-AVD and Windows 365</v>
      </c>
    </row>
    <row r="14" spans="1:14" x14ac:dyDescent="0.25">
      <c r="A14" s="1">
        <v>45966</v>
      </c>
      <c r="B14" t="s">
        <v>53</v>
      </c>
      <c r="C14" t="s">
        <v>54</v>
      </c>
      <c r="D14">
        <v>9</v>
      </c>
      <c r="E14">
        <v>9.75</v>
      </c>
      <c r="F14" t="s">
        <v>203</v>
      </c>
      <c r="G14" t="s">
        <v>203</v>
      </c>
      <c r="H14" t="s">
        <v>15</v>
      </c>
      <c r="I14" t="s">
        <v>16</v>
      </c>
      <c r="J14" t="s">
        <v>17</v>
      </c>
      <c r="K14" t="s">
        <v>252</v>
      </c>
      <c r="M14" s="5" t="str" cm="1">
        <f t="array" aca="1" ref="M14" ca="1">_xlfn.TEXTSPLIT(_xlfn.TEXTJOIN(",",TRUE,_xlfn._xlws.FILTER('Active Projects'!B:B, 'Active Projects'!A:A=INDIRECT("B"&amp;ROW()))),",")</f>
        <v>L.E.K Consulting-Azure Networking Assessment</v>
      </c>
    </row>
    <row r="15" spans="1:14" x14ac:dyDescent="0.25">
      <c r="A15" s="1">
        <v>45966</v>
      </c>
      <c r="B15" t="s">
        <v>96</v>
      </c>
      <c r="D15">
        <v>10</v>
      </c>
      <c r="E15">
        <v>11.5</v>
      </c>
      <c r="F15" t="s">
        <v>217</v>
      </c>
      <c r="G15" t="s">
        <v>217</v>
      </c>
      <c r="H15" t="s">
        <v>15</v>
      </c>
      <c r="I15" t="s">
        <v>16</v>
      </c>
      <c r="J15" t="s">
        <v>17</v>
      </c>
      <c r="K15" t="s">
        <v>252</v>
      </c>
      <c r="M15" s="5" t="str" cm="1">
        <f t="array" aca="1" ref="M15" ca="1">_xlfn.TEXTSPLIT(_xlfn.TEXTJOIN(",",TRUE,_xlfn._xlws.FILTER('Active Projects'!B:B, 'Active Projects'!A:A=INDIRECT("B"&amp;ROW()))),",")</f>
        <v>National Council of State Boards of Nursing-Microsoft Resource</v>
      </c>
    </row>
    <row r="16" spans="1:14" x14ac:dyDescent="0.25">
      <c r="A16" s="1">
        <v>45966</v>
      </c>
      <c r="B16" t="s">
        <v>208</v>
      </c>
      <c r="C16" t="s">
        <v>209</v>
      </c>
      <c r="D16">
        <v>11.5</v>
      </c>
      <c r="E16">
        <v>12</v>
      </c>
      <c r="F16" t="s">
        <v>56</v>
      </c>
      <c r="G16" t="s">
        <v>56</v>
      </c>
      <c r="H16" t="s">
        <v>15</v>
      </c>
      <c r="I16" t="s">
        <v>16</v>
      </c>
      <c r="J16" t="s">
        <v>17</v>
      </c>
      <c r="K16" t="s">
        <v>252</v>
      </c>
      <c r="M16" s="5" t="str" cm="1">
        <f t="array" aca="1" ref="M16" ca="1">_xlfn.TEXTSPLIT(_xlfn.TEXTJOIN(",",TRUE,_xlfn._xlws.FILTER('Active Projects'!B:B, 'Active Projects'!A:A=INDIRECT("B"&amp;ROW()))),",")</f>
        <v>Aurorium-Azure Services</v>
      </c>
    </row>
    <row r="17" spans="1:14" x14ac:dyDescent="0.25">
      <c r="A17" s="1">
        <v>45966</v>
      </c>
      <c r="B17" t="s">
        <v>211</v>
      </c>
      <c r="C17" t="s">
        <v>212</v>
      </c>
      <c r="D17">
        <v>12</v>
      </c>
      <c r="E17">
        <v>12.25</v>
      </c>
      <c r="F17" t="s">
        <v>218</v>
      </c>
      <c r="G17" t="s">
        <v>218</v>
      </c>
      <c r="H17" t="s">
        <v>15</v>
      </c>
      <c r="I17" t="s">
        <v>16</v>
      </c>
      <c r="J17" t="s">
        <v>17</v>
      </c>
      <c r="K17" t="s">
        <v>252</v>
      </c>
      <c r="M17" s="5" t="str" cm="1">
        <f t="array" aca="1" ref="M17:N17" ca="1">_xlfn.TEXTSPLIT(_xlfn.TEXTJOIN(",",TRUE,_xlfn._xlws.FILTER('Active Projects'!B:B, 'Active Projects'!A:A=INDIRECT("B"&amp;ROW()))),",")</f>
        <v>SPAR Group-Server Project Design</v>
      </c>
      <c r="N17" s="5" t="str">
        <f ca="1"/>
        <v>SPAR Group-Server Project Build and Migration</v>
      </c>
    </row>
    <row r="18" spans="1:14" x14ac:dyDescent="0.25">
      <c r="A18" s="1">
        <v>45966</v>
      </c>
      <c r="B18" t="s">
        <v>211</v>
      </c>
      <c r="C18" t="s">
        <v>212</v>
      </c>
      <c r="D18">
        <v>13</v>
      </c>
      <c r="E18">
        <v>15</v>
      </c>
      <c r="F18" t="s">
        <v>82</v>
      </c>
      <c r="G18" t="s">
        <v>82</v>
      </c>
      <c r="H18" t="s">
        <v>15</v>
      </c>
      <c r="I18" t="s">
        <v>16</v>
      </c>
      <c r="J18" t="s">
        <v>17</v>
      </c>
      <c r="K18" t="s">
        <v>252</v>
      </c>
      <c r="M18" s="5" t="str" cm="1">
        <f t="array" aca="1" ref="M18:N18" ca="1">_xlfn.TEXTSPLIT(_xlfn.TEXTJOIN(",",TRUE,_xlfn._xlws.FILTER('Active Projects'!B:B, 'Active Projects'!A:A=INDIRECT("B"&amp;ROW()))),",")</f>
        <v>SPAR Group-Server Project Design</v>
      </c>
      <c r="N18" s="5" t="str">
        <f ca="1"/>
        <v>SPAR Group-Server Project Build and Migration</v>
      </c>
    </row>
    <row r="19" spans="1:14" x14ac:dyDescent="0.25">
      <c r="A19" s="1">
        <v>45966</v>
      </c>
      <c r="B19" t="s">
        <v>37</v>
      </c>
      <c r="C19" t="s">
        <v>38</v>
      </c>
      <c r="D19">
        <v>15</v>
      </c>
      <c r="E19">
        <v>15.5</v>
      </c>
      <c r="F19" t="s">
        <v>219</v>
      </c>
      <c r="G19" t="s">
        <v>219</v>
      </c>
      <c r="H19" t="s">
        <v>15</v>
      </c>
      <c r="I19" t="s">
        <v>16</v>
      </c>
      <c r="J19" t="s">
        <v>17</v>
      </c>
      <c r="K19" t="s">
        <v>252</v>
      </c>
      <c r="M19" s="5" t="str" cm="1">
        <f t="array" aca="1" ref="M19" ca="1">_xlfn.TEXTSPLIT(_xlfn.TEXTJOIN(",",TRUE,_xlfn._xlws.FILTER('Active Projects'!B:B, 'Active Projects'!A:A=INDIRECT("B"&amp;ROW()))),",")</f>
        <v>City of Des Plaines-Azure Domain Controller Migration</v>
      </c>
    </row>
    <row r="20" spans="1:14" x14ac:dyDescent="0.25">
      <c r="A20" s="1">
        <v>45966</v>
      </c>
      <c r="B20" t="s">
        <v>211</v>
      </c>
      <c r="C20" t="s">
        <v>212</v>
      </c>
      <c r="D20">
        <v>15.5</v>
      </c>
      <c r="E20">
        <v>15.75</v>
      </c>
      <c r="F20" t="s">
        <v>82</v>
      </c>
      <c r="G20" t="s">
        <v>82</v>
      </c>
      <c r="H20" t="s">
        <v>15</v>
      </c>
      <c r="I20" t="s">
        <v>16</v>
      </c>
      <c r="J20" t="s">
        <v>17</v>
      </c>
      <c r="K20" t="s">
        <v>252</v>
      </c>
      <c r="M20" s="5" t="str" cm="1">
        <f t="array" aca="1" ref="M20:N20" ca="1">_xlfn.TEXTSPLIT(_xlfn.TEXTJOIN(",",TRUE,_xlfn._xlws.FILTER('Active Projects'!B:B, 'Active Projects'!A:A=INDIRECT("B"&amp;ROW()))),",")</f>
        <v>SPAR Group-Server Project Design</v>
      </c>
      <c r="N20" s="5" t="str">
        <f ca="1"/>
        <v>SPAR Group-Server Project Build and Migration</v>
      </c>
    </row>
    <row r="21" spans="1:14" x14ac:dyDescent="0.25">
      <c r="A21" s="1">
        <v>45966</v>
      </c>
      <c r="B21" t="s">
        <v>33</v>
      </c>
      <c r="C21" t="s">
        <v>34</v>
      </c>
      <c r="D21">
        <v>15.75</v>
      </c>
      <c r="E21">
        <v>17.25</v>
      </c>
      <c r="F21" t="s">
        <v>220</v>
      </c>
      <c r="G21" t="s">
        <v>220</v>
      </c>
      <c r="H21" t="s">
        <v>15</v>
      </c>
      <c r="I21" t="s">
        <v>16</v>
      </c>
      <c r="J21" t="s">
        <v>17</v>
      </c>
      <c r="K21" t="s">
        <v>252</v>
      </c>
      <c r="M21" s="5" t="str" cm="1">
        <f t="array" aca="1" ref="M21" ca="1">_xlfn.TEXTSPLIT(_xlfn.TEXTJOIN(",",TRUE,_xlfn._xlws.FILTER('Active Projects'!B:B, 'Active Projects'!A:A=INDIRECT("B"&amp;ROW()))),",")</f>
        <v>WK Kellogg-AVD and Windows 365</v>
      </c>
    </row>
    <row r="22" spans="1:14" x14ac:dyDescent="0.25">
      <c r="A22" s="1">
        <v>45967</v>
      </c>
      <c r="B22" t="s">
        <v>23</v>
      </c>
      <c r="C22" t="s">
        <v>221</v>
      </c>
      <c r="D22">
        <v>9</v>
      </c>
      <c r="E22">
        <v>13</v>
      </c>
      <c r="F22" t="s">
        <v>222</v>
      </c>
      <c r="G22" t="s">
        <v>222</v>
      </c>
      <c r="H22" t="s">
        <v>15</v>
      </c>
      <c r="I22" t="s">
        <v>16</v>
      </c>
      <c r="J22" t="s">
        <v>17</v>
      </c>
      <c r="K22" t="s">
        <v>252</v>
      </c>
      <c r="M22" s="5" t="str" cm="1">
        <f t="array" aca="1" ref="M22:N22" ca="1">_xlfn.TEXTSPLIT(_xlfn.TEXTJOIN(",",TRUE,_xlfn._xlws.FILTER('Active Projects'!B:B, 'Active Projects'!A:A=INDIRECT("B"&amp;ROW()))),",")</f>
        <v>Credit Interlink-Production to Azure Migration T_M</v>
      </c>
      <c r="N22" s="5" t="str">
        <f ca="1"/>
        <v>Credit Interlink-DR_HA Configuration</v>
      </c>
    </row>
    <row r="23" spans="1:14" x14ac:dyDescent="0.25">
      <c r="A23" s="1">
        <v>45967</v>
      </c>
      <c r="B23" t="s">
        <v>33</v>
      </c>
      <c r="C23" t="s">
        <v>34</v>
      </c>
      <c r="D23">
        <v>14</v>
      </c>
      <c r="E23">
        <v>14.5</v>
      </c>
      <c r="F23" t="s">
        <v>223</v>
      </c>
      <c r="G23" t="s">
        <v>223</v>
      </c>
      <c r="H23" t="s">
        <v>15</v>
      </c>
      <c r="I23" t="s">
        <v>16</v>
      </c>
      <c r="J23" t="s">
        <v>17</v>
      </c>
      <c r="K23" t="s">
        <v>252</v>
      </c>
      <c r="M23" s="5" t="str" cm="1">
        <f t="array" aca="1" ref="M23" ca="1">_xlfn.TEXTSPLIT(_xlfn.TEXTJOIN(",",TRUE,_xlfn._xlws.FILTER('Active Projects'!B:B, 'Active Projects'!A:A=INDIRECT("B"&amp;ROW()))),",")</f>
        <v>WK Kellogg-AVD and Windows 365</v>
      </c>
    </row>
    <row r="24" spans="1:14" x14ac:dyDescent="0.25">
      <c r="A24" s="1">
        <v>45967</v>
      </c>
      <c r="B24" t="s">
        <v>211</v>
      </c>
      <c r="C24" t="s">
        <v>212</v>
      </c>
      <c r="D24">
        <v>14.5</v>
      </c>
      <c r="E24">
        <v>15</v>
      </c>
      <c r="F24" t="s">
        <v>224</v>
      </c>
      <c r="G24" t="s">
        <v>224</v>
      </c>
      <c r="H24" t="s">
        <v>15</v>
      </c>
      <c r="I24" t="s">
        <v>16</v>
      </c>
      <c r="J24" t="s">
        <v>17</v>
      </c>
      <c r="K24" t="s">
        <v>252</v>
      </c>
      <c r="M24" s="5" t="str" cm="1">
        <f t="array" aca="1" ref="M24:N24" ca="1">_xlfn.TEXTSPLIT(_xlfn.TEXTJOIN(",",TRUE,_xlfn._xlws.FILTER('Active Projects'!B:B, 'Active Projects'!A:A=INDIRECT("B"&amp;ROW()))),",")</f>
        <v>SPAR Group-Server Project Design</v>
      </c>
      <c r="N24" s="5" t="str">
        <f ca="1"/>
        <v>SPAR Group-Server Project Build and Migration</v>
      </c>
    </row>
    <row r="25" spans="1:14" x14ac:dyDescent="0.25">
      <c r="A25" s="1">
        <v>45967</v>
      </c>
      <c r="B25" t="s">
        <v>86</v>
      </c>
      <c r="C25" t="s">
        <v>87</v>
      </c>
      <c r="D25">
        <v>15</v>
      </c>
      <c r="E25">
        <v>15.5</v>
      </c>
      <c r="F25" t="s">
        <v>56</v>
      </c>
      <c r="G25" t="s">
        <v>56</v>
      </c>
      <c r="H25" t="s">
        <v>15</v>
      </c>
      <c r="I25" t="s">
        <v>16</v>
      </c>
      <c r="J25" t="s">
        <v>17</v>
      </c>
      <c r="K25" t="s">
        <v>252</v>
      </c>
      <c r="M25" s="5" t="str" cm="1">
        <f t="array" aca="1" ref="M25:N25" ca="1">_xlfn.TEXTSPLIT(_xlfn.TEXTJOIN(",",TRUE,_xlfn._xlws.FILTER('Active Projects'!B:B, 'Active Projects'!A:A=INDIRECT("B"&amp;ROW()))),",")</f>
        <v>Brightstar Care-Azure Network Services</v>
      </c>
      <c r="N25" s="5" t="str">
        <f ca="1"/>
        <v>Brightstar Care-Azure Network Services Review Calls</v>
      </c>
    </row>
    <row r="26" spans="1:14" x14ac:dyDescent="0.25">
      <c r="A26" s="1">
        <v>45967</v>
      </c>
      <c r="B26" t="s">
        <v>211</v>
      </c>
      <c r="C26" t="s">
        <v>212</v>
      </c>
      <c r="D26">
        <v>15.5</v>
      </c>
      <c r="E26">
        <v>17</v>
      </c>
      <c r="F26" t="s">
        <v>142</v>
      </c>
      <c r="G26" t="s">
        <v>142</v>
      </c>
      <c r="H26" t="s">
        <v>15</v>
      </c>
      <c r="I26" t="s">
        <v>16</v>
      </c>
      <c r="J26" t="s">
        <v>17</v>
      </c>
      <c r="K26" t="s">
        <v>252</v>
      </c>
      <c r="M26" s="5" t="str" cm="1">
        <f t="array" aca="1" ref="M26:N26" ca="1">_xlfn.TEXTSPLIT(_xlfn.TEXTJOIN(",",TRUE,_xlfn._xlws.FILTER('Active Projects'!B:B, 'Active Projects'!A:A=INDIRECT("B"&amp;ROW()))),",")</f>
        <v>SPAR Group-Server Project Design</v>
      </c>
      <c r="N26" s="5" t="str">
        <f ca="1"/>
        <v>SPAR Group-Server Project Build and Migration</v>
      </c>
    </row>
    <row r="27" spans="1:14" x14ac:dyDescent="0.25">
      <c r="A27" s="1">
        <v>45968</v>
      </c>
      <c r="B27" t="s">
        <v>12</v>
      </c>
      <c r="C27" t="s">
        <v>13</v>
      </c>
      <c r="D27">
        <v>8.5</v>
      </c>
      <c r="E27">
        <v>13.5</v>
      </c>
      <c r="F27" t="s">
        <v>225</v>
      </c>
      <c r="G27" t="s">
        <v>225</v>
      </c>
      <c r="H27" t="s">
        <v>15</v>
      </c>
      <c r="I27" t="s">
        <v>16</v>
      </c>
      <c r="J27" t="s">
        <v>17</v>
      </c>
      <c r="K27" t="s">
        <v>252</v>
      </c>
      <c r="M27" s="5" t="str" cm="1">
        <f t="array" aca="1" ref="M27" ca="1">_xlfn.TEXTSPLIT(_xlfn.TEXTJOIN(",",TRUE,_xlfn._xlws.FILTER('Active Projects'!B:B, 'Active Projects'!A:A=INDIRECT("B"&amp;ROW()))),",")</f>
        <v>Sylvan-AVD Proof of Concept</v>
      </c>
    </row>
    <row r="28" spans="1:14" x14ac:dyDescent="0.25">
      <c r="A28" s="1">
        <v>45968</v>
      </c>
      <c r="B28" t="s">
        <v>102</v>
      </c>
      <c r="C28" t="s">
        <v>100</v>
      </c>
      <c r="D28">
        <v>14</v>
      </c>
      <c r="E28">
        <v>15</v>
      </c>
      <c r="F28" t="s">
        <v>226</v>
      </c>
      <c r="G28" t="s">
        <v>226</v>
      </c>
      <c r="H28" t="s">
        <v>15</v>
      </c>
      <c r="I28" t="s">
        <v>16</v>
      </c>
      <c r="J28" t="s">
        <v>17</v>
      </c>
      <c r="K28" t="s">
        <v>252</v>
      </c>
      <c r="M28" s="5" t="str" cm="1">
        <f t="array" aca="1" ref="M28:N28" ca="1">_xlfn.TEXTSPLIT(_xlfn.TEXTJOIN(",",TRUE,_xlfn._xlws.FILTER('Active Projects'!B:B, 'Active Projects'!A:A=INDIRECT("B"&amp;ROW()))),",")</f>
        <v>Floracraft-Azure Landing Zone</v>
      </c>
      <c r="N28" s="5" t="str">
        <f ca="1"/>
        <v>Floracraft-Azure Server Migrations</v>
      </c>
    </row>
    <row r="29" spans="1:14" x14ac:dyDescent="0.25">
      <c r="A29" s="1">
        <v>45968</v>
      </c>
      <c r="B29" t="s">
        <v>18</v>
      </c>
      <c r="C29" t="s">
        <v>11</v>
      </c>
      <c r="D29">
        <v>15</v>
      </c>
      <c r="E29">
        <v>15.25</v>
      </c>
      <c r="F29" t="s">
        <v>227</v>
      </c>
      <c r="G29" t="s">
        <v>227</v>
      </c>
      <c r="H29" t="s">
        <v>15</v>
      </c>
      <c r="I29" t="s">
        <v>16</v>
      </c>
      <c r="J29" t="s">
        <v>17</v>
      </c>
      <c r="K29" t="s">
        <v>252</v>
      </c>
      <c r="M29" s="5" t="str" cm="1">
        <f t="array" aca="1" ref="M29" ca="1">_xlfn.TEXTSPLIT(_xlfn.TEXTJOIN(",",TRUE,_xlfn._xlws.FILTER('Active Projects'!B:B, 'Active Projects'!A:A=INDIRECT("B"&amp;ROW()))),",")</f>
        <v>Atlas Healthcare Partners-Windows 365 Jumpstart</v>
      </c>
    </row>
    <row r="30" spans="1:14" x14ac:dyDescent="0.25">
      <c r="A30" s="1">
        <v>45971</v>
      </c>
      <c r="B30" t="s">
        <v>208</v>
      </c>
      <c r="C30" t="s">
        <v>209</v>
      </c>
      <c r="D30">
        <v>6</v>
      </c>
      <c r="E30">
        <v>6.5</v>
      </c>
      <c r="F30" t="s">
        <v>228</v>
      </c>
      <c r="G30" t="s">
        <v>228</v>
      </c>
      <c r="H30" t="s">
        <v>15</v>
      </c>
      <c r="I30" t="s">
        <v>16</v>
      </c>
      <c r="J30" t="s">
        <v>17</v>
      </c>
      <c r="K30" t="s">
        <v>252</v>
      </c>
      <c r="M30" s="5" t="str" cm="1">
        <f t="array" aca="1" ref="M30" ca="1">_xlfn.TEXTSPLIT(_xlfn.TEXTJOIN(",",TRUE,_xlfn._xlws.FILTER('Active Projects'!B:B, 'Active Projects'!A:A=INDIRECT("B"&amp;ROW()))),",")</f>
        <v>Aurorium-Azure Services</v>
      </c>
    </row>
    <row r="31" spans="1:14" x14ac:dyDescent="0.25">
      <c r="A31" s="1">
        <v>45971</v>
      </c>
      <c r="B31" t="s">
        <v>23</v>
      </c>
      <c r="C31" t="s">
        <v>221</v>
      </c>
      <c r="D31">
        <v>6.5</v>
      </c>
      <c r="E31">
        <v>6.75</v>
      </c>
      <c r="F31" t="s">
        <v>229</v>
      </c>
      <c r="G31" t="s">
        <v>229</v>
      </c>
      <c r="H31" t="s">
        <v>15</v>
      </c>
      <c r="I31" t="s">
        <v>16</v>
      </c>
      <c r="J31" t="s">
        <v>17</v>
      </c>
      <c r="K31" t="s">
        <v>252</v>
      </c>
      <c r="M31" s="5" t="str" cm="1">
        <f t="array" aca="1" ref="M31:N31" ca="1">_xlfn.TEXTSPLIT(_xlfn.TEXTJOIN(",",TRUE,_xlfn._xlws.FILTER('Active Projects'!B:B, 'Active Projects'!A:A=INDIRECT("B"&amp;ROW()))),",")</f>
        <v>Credit Interlink-Production to Azure Migration T_M</v>
      </c>
      <c r="N31" s="5" t="str">
        <f ca="1"/>
        <v>Credit Interlink-DR_HA Configuration</v>
      </c>
    </row>
    <row r="32" spans="1:14" x14ac:dyDescent="0.25">
      <c r="A32" s="1">
        <v>45971</v>
      </c>
      <c r="B32" t="s">
        <v>250</v>
      </c>
      <c r="C32" t="s">
        <v>195</v>
      </c>
      <c r="D32">
        <v>8.5</v>
      </c>
      <c r="E32">
        <v>9</v>
      </c>
      <c r="F32" t="s">
        <v>42</v>
      </c>
      <c r="G32" t="s">
        <v>42</v>
      </c>
      <c r="H32" t="s">
        <v>15</v>
      </c>
      <c r="I32" t="s">
        <v>16</v>
      </c>
      <c r="J32" t="s">
        <v>17</v>
      </c>
      <c r="K32" t="s">
        <v>252</v>
      </c>
      <c r="M32" s="5" t="str" cm="1">
        <f t="array" aca="1" ref="M32" ca="1">_xlfn.TEXTSPLIT(_xlfn.TEXTJOIN(",",TRUE,_xlfn._xlws.FILTER('Active Projects'!B:B, 'Active Projects'!A:A=INDIRECT("B"&amp;ROW()))),",")</f>
        <v>QCR Holdings-Azure Event Hub</v>
      </c>
    </row>
    <row r="33" spans="1:14" x14ac:dyDescent="0.25">
      <c r="A33" s="1">
        <v>45971</v>
      </c>
      <c r="B33" t="s">
        <v>208</v>
      </c>
      <c r="C33" t="s">
        <v>209</v>
      </c>
      <c r="D33">
        <v>9</v>
      </c>
      <c r="E33">
        <v>10.25</v>
      </c>
      <c r="F33" t="s">
        <v>129</v>
      </c>
      <c r="G33" t="s">
        <v>230</v>
      </c>
      <c r="H33" t="s">
        <v>15</v>
      </c>
      <c r="I33" t="s">
        <v>16</v>
      </c>
      <c r="J33" t="s">
        <v>17</v>
      </c>
      <c r="K33" t="s">
        <v>252</v>
      </c>
      <c r="M33" s="5" t="str" cm="1">
        <f t="array" aca="1" ref="M33" ca="1">_xlfn.TEXTSPLIT(_xlfn.TEXTJOIN(",",TRUE,_xlfn._xlws.FILTER('Active Projects'!B:B, 'Active Projects'!A:A=INDIRECT("B"&amp;ROW()))),",")</f>
        <v>Aurorium-Azure Services</v>
      </c>
    </row>
    <row r="34" spans="1:14" x14ac:dyDescent="0.25">
      <c r="A34" s="1">
        <v>45971</v>
      </c>
      <c r="B34" t="s">
        <v>18</v>
      </c>
      <c r="C34" t="s">
        <v>11</v>
      </c>
      <c r="D34">
        <v>10.75</v>
      </c>
      <c r="E34">
        <v>11</v>
      </c>
      <c r="F34" t="s">
        <v>231</v>
      </c>
      <c r="G34" t="s">
        <v>231</v>
      </c>
      <c r="H34" t="s">
        <v>15</v>
      </c>
      <c r="I34" t="s">
        <v>16</v>
      </c>
      <c r="J34" t="s">
        <v>17</v>
      </c>
      <c r="K34" t="s">
        <v>252</v>
      </c>
      <c r="M34" s="5" t="str" cm="1">
        <f t="array" aca="1" ref="M34" ca="1">_xlfn.TEXTSPLIT(_xlfn.TEXTJOIN(",",TRUE,_xlfn._xlws.FILTER('Active Projects'!B:B, 'Active Projects'!A:A=INDIRECT("B"&amp;ROW()))),",")</f>
        <v>Atlas Healthcare Partners-Windows 365 Jumpstart</v>
      </c>
    </row>
    <row r="35" spans="1:14" x14ac:dyDescent="0.25">
      <c r="A35" s="1">
        <v>45971</v>
      </c>
      <c r="B35" t="s">
        <v>23</v>
      </c>
      <c r="C35" t="s">
        <v>221</v>
      </c>
      <c r="D35">
        <v>11</v>
      </c>
      <c r="E35">
        <v>12.75</v>
      </c>
      <c r="F35" t="s">
        <v>232</v>
      </c>
      <c r="G35" t="s">
        <v>232</v>
      </c>
      <c r="H35" t="s">
        <v>15</v>
      </c>
      <c r="I35" t="s">
        <v>16</v>
      </c>
      <c r="J35" t="s">
        <v>17</v>
      </c>
      <c r="K35" t="s">
        <v>252</v>
      </c>
      <c r="M35" s="5" t="str" cm="1">
        <f t="array" aca="1" ref="M35:N35" ca="1">_xlfn.TEXTSPLIT(_xlfn.TEXTJOIN(",",TRUE,_xlfn._xlws.FILTER('Active Projects'!B:B, 'Active Projects'!A:A=INDIRECT("B"&amp;ROW()))),",")</f>
        <v>Credit Interlink-Production to Azure Migration T_M</v>
      </c>
      <c r="N35" s="5" t="str">
        <f ca="1"/>
        <v>Credit Interlink-DR_HA Configuration</v>
      </c>
    </row>
    <row r="36" spans="1:14" x14ac:dyDescent="0.25">
      <c r="A36" s="1">
        <v>45971</v>
      </c>
      <c r="B36" t="s">
        <v>18</v>
      </c>
      <c r="C36" t="s">
        <v>11</v>
      </c>
      <c r="D36">
        <v>13.75</v>
      </c>
      <c r="E36">
        <v>14.75</v>
      </c>
      <c r="F36" t="s">
        <v>233</v>
      </c>
      <c r="G36" t="s">
        <v>233</v>
      </c>
      <c r="H36" t="s">
        <v>15</v>
      </c>
      <c r="I36" t="s">
        <v>16</v>
      </c>
      <c r="J36" t="s">
        <v>17</v>
      </c>
      <c r="K36" t="s">
        <v>252</v>
      </c>
      <c r="M36" s="5" t="str" cm="1">
        <f t="array" aca="1" ref="M36" ca="1">_xlfn.TEXTSPLIT(_xlfn.TEXTJOIN(",",TRUE,_xlfn._xlws.FILTER('Active Projects'!B:B, 'Active Projects'!A:A=INDIRECT("B"&amp;ROW()))),",")</f>
        <v>Atlas Healthcare Partners-Windows 365 Jumpstart</v>
      </c>
    </row>
    <row r="37" spans="1:14" x14ac:dyDescent="0.25">
      <c r="A37" s="1">
        <v>45971</v>
      </c>
      <c r="B37" t="s">
        <v>53</v>
      </c>
      <c r="C37" t="s">
        <v>54</v>
      </c>
      <c r="D37">
        <v>15</v>
      </c>
      <c r="E37">
        <v>15.5</v>
      </c>
      <c r="F37" t="s">
        <v>56</v>
      </c>
      <c r="G37" t="s">
        <v>56</v>
      </c>
      <c r="H37" t="s">
        <v>15</v>
      </c>
      <c r="I37" t="s">
        <v>16</v>
      </c>
      <c r="J37" t="s">
        <v>17</v>
      </c>
      <c r="K37" t="s">
        <v>252</v>
      </c>
      <c r="M37" s="5" t="str" cm="1">
        <f t="array" aca="1" ref="M37" ca="1">_xlfn.TEXTSPLIT(_xlfn.TEXTJOIN(",",TRUE,_xlfn._xlws.FILTER('Active Projects'!B:B, 'Active Projects'!A:A=INDIRECT("B"&amp;ROW()))),",")</f>
        <v>L.E.K Consulting-Azure Networking Assessment</v>
      </c>
    </row>
    <row r="38" spans="1:14" x14ac:dyDescent="0.25">
      <c r="A38" s="1">
        <v>45971</v>
      </c>
      <c r="B38" t="s">
        <v>18</v>
      </c>
      <c r="C38" t="s">
        <v>11</v>
      </c>
      <c r="D38">
        <v>15.5</v>
      </c>
      <c r="E38">
        <v>16</v>
      </c>
      <c r="F38" t="s">
        <v>234</v>
      </c>
      <c r="G38" t="s">
        <v>234</v>
      </c>
      <c r="H38" t="s">
        <v>15</v>
      </c>
      <c r="I38" t="s">
        <v>16</v>
      </c>
      <c r="J38" t="s">
        <v>17</v>
      </c>
      <c r="K38" t="s">
        <v>252</v>
      </c>
      <c r="M38" s="5" t="str" cm="1">
        <f t="array" aca="1" ref="M38" ca="1">_xlfn.TEXTSPLIT(_xlfn.TEXTJOIN(",",TRUE,_xlfn._xlws.FILTER('Active Projects'!B:B, 'Active Projects'!A:A=INDIRECT("B"&amp;ROW()))),",")</f>
        <v>Atlas Healthcare Partners-Windows 365 Jumpstart</v>
      </c>
    </row>
    <row r="39" spans="1:14" x14ac:dyDescent="0.25">
      <c r="A39" s="1">
        <v>45972</v>
      </c>
      <c r="B39" t="s">
        <v>23</v>
      </c>
      <c r="C39" t="s">
        <v>221</v>
      </c>
      <c r="D39">
        <v>8.5</v>
      </c>
      <c r="E39">
        <v>11</v>
      </c>
      <c r="F39" t="s">
        <v>235</v>
      </c>
      <c r="G39" t="s">
        <v>235</v>
      </c>
      <c r="H39" t="s">
        <v>15</v>
      </c>
      <c r="I39" t="s">
        <v>16</v>
      </c>
      <c r="J39" t="s">
        <v>17</v>
      </c>
      <c r="K39" t="s">
        <v>252</v>
      </c>
      <c r="M39" s="5" t="str" cm="1">
        <f t="array" aca="1" ref="M39:N39" ca="1">_xlfn.TEXTSPLIT(_xlfn.TEXTJOIN(",",TRUE,_xlfn._xlws.FILTER('Active Projects'!B:B, 'Active Projects'!A:A=INDIRECT("B"&amp;ROW()))),",")</f>
        <v>Credit Interlink-Production to Azure Migration T_M</v>
      </c>
      <c r="N39" s="5" t="str">
        <f ca="1"/>
        <v>Credit Interlink-DR_HA Configuration</v>
      </c>
    </row>
    <row r="40" spans="1:14" x14ac:dyDescent="0.25">
      <c r="A40" s="1">
        <v>45972</v>
      </c>
      <c r="B40" t="s">
        <v>211</v>
      </c>
      <c r="C40" t="s">
        <v>212</v>
      </c>
      <c r="D40">
        <v>11</v>
      </c>
      <c r="E40">
        <v>12</v>
      </c>
      <c r="F40" t="s">
        <v>236</v>
      </c>
      <c r="G40" t="s">
        <v>236</v>
      </c>
      <c r="H40" t="s">
        <v>15</v>
      </c>
      <c r="I40" t="s">
        <v>16</v>
      </c>
      <c r="J40" t="s">
        <v>17</v>
      </c>
      <c r="K40" t="s">
        <v>252</v>
      </c>
      <c r="M40" s="5" t="str" cm="1">
        <f t="array" aca="1" ref="M40:N40" ca="1">_xlfn.TEXTSPLIT(_xlfn.TEXTJOIN(",",TRUE,_xlfn._xlws.FILTER('Active Projects'!B:B, 'Active Projects'!A:A=INDIRECT("B"&amp;ROW()))),",")</f>
        <v>SPAR Group-Server Project Design</v>
      </c>
      <c r="N40" s="5" t="str">
        <f ca="1"/>
        <v>SPAR Group-Server Project Build and Migration</v>
      </c>
    </row>
    <row r="41" spans="1:14" x14ac:dyDescent="0.25">
      <c r="A41" s="1">
        <v>45972</v>
      </c>
      <c r="B41" t="s">
        <v>250</v>
      </c>
      <c r="C41" t="s">
        <v>195</v>
      </c>
      <c r="D41">
        <v>13.5</v>
      </c>
      <c r="E41">
        <v>15</v>
      </c>
      <c r="F41" t="s">
        <v>237</v>
      </c>
      <c r="G41" t="s">
        <v>237</v>
      </c>
      <c r="H41" t="s">
        <v>15</v>
      </c>
      <c r="I41" t="s">
        <v>16</v>
      </c>
      <c r="J41" t="s">
        <v>17</v>
      </c>
      <c r="K41" t="s">
        <v>252</v>
      </c>
      <c r="M41" s="5" t="str" cm="1">
        <f t="array" aca="1" ref="M41" ca="1">_xlfn.TEXTSPLIT(_xlfn.TEXTJOIN(",",TRUE,_xlfn._xlws.FILTER('Active Projects'!B:B, 'Active Projects'!A:A=INDIRECT("B"&amp;ROW()))),",")</f>
        <v>QCR Holdings-Azure Event Hub</v>
      </c>
    </row>
    <row r="42" spans="1:14" x14ac:dyDescent="0.25">
      <c r="A42" s="1">
        <v>45972</v>
      </c>
      <c r="B42" t="s">
        <v>208</v>
      </c>
      <c r="C42" t="s">
        <v>209</v>
      </c>
      <c r="D42">
        <v>15</v>
      </c>
      <c r="E42">
        <v>16.5</v>
      </c>
      <c r="F42" t="s">
        <v>98</v>
      </c>
      <c r="G42" t="s">
        <v>98</v>
      </c>
      <c r="H42" t="s">
        <v>15</v>
      </c>
      <c r="I42" t="s">
        <v>16</v>
      </c>
      <c r="J42" t="s">
        <v>17</v>
      </c>
      <c r="K42" t="s">
        <v>252</v>
      </c>
      <c r="M42" s="5" t="str" cm="1">
        <f t="array" aca="1" ref="M42" ca="1">_xlfn.TEXTSPLIT(_xlfn.TEXTJOIN(",",TRUE,_xlfn._xlws.FILTER('Active Projects'!B:B, 'Active Projects'!A:A=INDIRECT("B"&amp;ROW()))),",")</f>
        <v>Aurorium-Azure Services</v>
      </c>
    </row>
    <row r="43" spans="1:14" x14ac:dyDescent="0.25">
      <c r="A43" s="1">
        <v>45972</v>
      </c>
      <c r="B43" t="s">
        <v>238</v>
      </c>
      <c r="C43" t="s">
        <v>239</v>
      </c>
      <c r="D43">
        <v>16.5</v>
      </c>
      <c r="E43">
        <v>17</v>
      </c>
      <c r="F43" t="s">
        <v>88</v>
      </c>
      <c r="G43" t="s">
        <v>88</v>
      </c>
      <c r="H43" t="s">
        <v>15</v>
      </c>
      <c r="I43" t="s">
        <v>16</v>
      </c>
      <c r="J43" t="s">
        <v>17</v>
      </c>
      <c r="K43" t="s">
        <v>252</v>
      </c>
      <c r="M43" s="5" t="str" cm="1">
        <f t="array" aca="1" ref="M43:N43" ca="1">_xlfn.TEXTSPLIT(_xlfn.TEXTJOIN(",",TRUE,_xlfn._xlws.FILTER('Active Projects'!B:B, 'Active Projects'!A:A=INDIRECT("B"&amp;ROW()))),",")</f>
        <v>Bradford Exchange Ltd-Azure Land Zone-Discovery_Workshops_Documentation</v>
      </c>
      <c r="N43" s="5" t="str">
        <f ca="1"/>
        <v>Bradford Exchange Ltd-Azure Land Zone-All Remaining Phases</v>
      </c>
    </row>
    <row r="44" spans="1:14" x14ac:dyDescent="0.25">
      <c r="A44" s="1">
        <v>45973</v>
      </c>
      <c r="B44" t="s">
        <v>23</v>
      </c>
      <c r="C44" t="s">
        <v>221</v>
      </c>
      <c r="D44">
        <v>4</v>
      </c>
      <c r="E44">
        <v>5</v>
      </c>
      <c r="F44" t="s">
        <v>244</v>
      </c>
      <c r="G44" t="s">
        <v>245</v>
      </c>
      <c r="H44" t="s">
        <v>15</v>
      </c>
      <c r="I44" t="s">
        <v>16</v>
      </c>
      <c r="J44" t="s">
        <v>17</v>
      </c>
      <c r="K44" t="s">
        <v>252</v>
      </c>
      <c r="M44" s="5" t="str" cm="1">
        <f t="array" aca="1" ref="M44:N44" ca="1">_xlfn.TEXTSPLIT(_xlfn.TEXTJOIN(",",TRUE,_xlfn._xlws.FILTER('Active Projects'!B:B, 'Active Projects'!A:A=INDIRECT("B"&amp;ROW()))),",")</f>
        <v>Credit Interlink-Production to Azure Migration T_M</v>
      </c>
      <c r="N44" s="5" t="str">
        <f ca="1"/>
        <v>Credit Interlink-DR_HA Configuration</v>
      </c>
    </row>
    <row r="45" spans="1:14" x14ac:dyDescent="0.25">
      <c r="A45" s="1">
        <v>45973</v>
      </c>
      <c r="B45" t="s">
        <v>96</v>
      </c>
      <c r="C45" t="s">
        <v>97</v>
      </c>
      <c r="D45">
        <v>8.5</v>
      </c>
      <c r="E45">
        <v>12.5</v>
      </c>
      <c r="F45" t="s">
        <v>246</v>
      </c>
      <c r="G45" t="s">
        <v>246</v>
      </c>
      <c r="H45" t="s">
        <v>15</v>
      </c>
      <c r="I45" t="s">
        <v>16</v>
      </c>
      <c r="J45" t="s">
        <v>17</v>
      </c>
      <c r="K45" t="s">
        <v>252</v>
      </c>
      <c r="M45" s="5" t="str" cm="1">
        <f t="array" aca="1" ref="M45" ca="1">_xlfn.TEXTSPLIT(_xlfn.TEXTJOIN(",",TRUE,_xlfn._xlws.FILTER('Active Projects'!B:B, 'Active Projects'!A:A=INDIRECT("B"&amp;ROW()))),",")</f>
        <v>National Council of State Boards of Nursing-Microsoft Resource</v>
      </c>
    </row>
    <row r="46" spans="1:14" x14ac:dyDescent="0.25">
      <c r="A46" s="1">
        <v>45973</v>
      </c>
      <c r="B46" t="s">
        <v>23</v>
      </c>
      <c r="C46" t="s">
        <v>221</v>
      </c>
      <c r="D46">
        <v>13</v>
      </c>
      <c r="E46">
        <v>15</v>
      </c>
      <c r="F46" t="s">
        <v>247</v>
      </c>
      <c r="G46" t="s">
        <v>247</v>
      </c>
      <c r="H46" t="s">
        <v>15</v>
      </c>
      <c r="I46" t="s">
        <v>16</v>
      </c>
      <c r="J46" t="s">
        <v>17</v>
      </c>
      <c r="K46" t="s">
        <v>252</v>
      </c>
      <c r="M46" s="5" t="str" cm="1">
        <f t="array" aca="1" ref="M46:N46" ca="1">_xlfn.TEXTSPLIT(_xlfn.TEXTJOIN(",",TRUE,_xlfn._xlws.FILTER('Active Projects'!B:B, 'Active Projects'!A:A=INDIRECT("B"&amp;ROW()))),",")</f>
        <v>Credit Interlink-Production to Azure Migration T_M</v>
      </c>
      <c r="N46" s="5" t="str">
        <f ca="1"/>
        <v>Credit Interlink-DR_HA Configuration</v>
      </c>
    </row>
    <row r="47" spans="1:14" x14ac:dyDescent="0.25">
      <c r="A47" s="1">
        <v>45973</v>
      </c>
      <c r="B47" t="s">
        <v>37</v>
      </c>
      <c r="C47" t="s">
        <v>38</v>
      </c>
      <c r="D47">
        <v>15</v>
      </c>
      <c r="E47">
        <v>15.25</v>
      </c>
      <c r="F47" t="s">
        <v>56</v>
      </c>
      <c r="G47" t="s">
        <v>56</v>
      </c>
      <c r="H47" t="s">
        <v>15</v>
      </c>
      <c r="I47" t="s">
        <v>16</v>
      </c>
      <c r="J47" t="s">
        <v>17</v>
      </c>
      <c r="K47" t="s">
        <v>252</v>
      </c>
      <c r="M47" s="5" t="str" cm="1">
        <f t="array" aca="1" ref="M47" ca="1">_xlfn.TEXTSPLIT(_xlfn.TEXTJOIN(",",TRUE,_xlfn._xlws.FILTER('Active Projects'!B:B, 'Active Projects'!A:A=INDIRECT("B"&amp;ROW()))),",")</f>
        <v>City of Des Plaines-Azure Domain Controller Migration</v>
      </c>
    </row>
    <row r="48" spans="1:14" x14ac:dyDescent="0.25">
      <c r="A48" s="1">
        <v>45973</v>
      </c>
      <c r="D48">
        <v>15.25</v>
      </c>
      <c r="E48">
        <v>16</v>
      </c>
      <c r="F48" t="s">
        <v>248</v>
      </c>
      <c r="G48" t="s">
        <v>248</v>
      </c>
      <c r="H48" t="s">
        <v>15</v>
      </c>
      <c r="I48" t="s">
        <v>65</v>
      </c>
      <c r="J48" t="s">
        <v>17</v>
      </c>
      <c r="K48" t="s">
        <v>252</v>
      </c>
      <c r="M48" s="5" t="e" cm="1">
        <f t="array" aca="1" ref="M48" ca="1">_xlfn.TEXTSPLIT(_xlfn.TEXTJOIN(",",TRUE,_xlfn._xlws.FILTER('Active Projects'!B:B, 'Active Projects'!A:A=INDIRECT("B"&amp;ROW()))),",")</f>
        <v>#VALUE!</v>
      </c>
    </row>
    <row r="49" spans="1:13" x14ac:dyDescent="0.25">
      <c r="A49" s="1">
        <v>45973</v>
      </c>
      <c r="B49" t="s">
        <v>152</v>
      </c>
      <c r="C49" t="s">
        <v>151</v>
      </c>
      <c r="D49">
        <v>16</v>
      </c>
      <c r="E49">
        <v>16.5</v>
      </c>
      <c r="F49" t="s">
        <v>249</v>
      </c>
      <c r="G49" t="s">
        <v>249</v>
      </c>
      <c r="H49" t="s">
        <v>15</v>
      </c>
      <c r="I49" t="s">
        <v>16</v>
      </c>
      <c r="J49" t="s">
        <v>17</v>
      </c>
      <c r="K49" t="s">
        <v>252</v>
      </c>
      <c r="M49" s="5" t="str" cm="1">
        <f t="array" aca="1" ref="M49" ca="1">_xlfn.TEXTSPLIT(_xlfn.TEXTJOIN(",",TRUE,_xlfn._xlws.FILTER('Active Projects'!B:B, 'Active Projects'!A:A=INDIRECT("B"&amp;ROW()))),",")</f>
        <v>Clark County Library District-Azure Accelerate Assessment</v>
      </c>
    </row>
  </sheetData>
  <dataValidations count="2">
    <dataValidation type="list" allowBlank="1" showInputMessage="1" showErrorMessage="1" sqref="B1" xr:uid="{7872D6D1-73A3-4A7D-8AAF-821BD6E0538D}">
      <formula1>#REF!</formula1>
    </dataValidation>
    <dataValidation type="list" allowBlank="1" showInputMessage="1" showErrorMessage="1" sqref="C2:C1048576" xr:uid="{9F3FC438-E663-4086-88DA-CA70CBC6A0CA}">
      <formula1>INDIRECT("M"&amp;ROW()&amp;":Z"&amp;ROW())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4876339-403B-43FF-BCE5-64685BB5DF8D}">
          <x14:formula1>
            <xm:f>'Data Validation'!$A$2:$A$7</xm:f>
          </x14:formula1>
          <xm:sqref>I2:I1048576</xm:sqref>
        </x14:dataValidation>
        <x14:dataValidation type="list" allowBlank="1" showInputMessage="1" showErrorMessage="1" xr:uid="{B8F0FEFC-23E5-46BE-8461-408A5E8DEDD8}">
          <x14:formula1>
            <xm:f>'Data Validation'!$B$2:$B$3</xm:f>
          </x14:formula1>
          <xm:sqref>J2:J1048576</xm:sqref>
        </x14:dataValidation>
        <x14:dataValidation type="list" allowBlank="1" showInputMessage="1" showErrorMessage="1" xr:uid="{CF21D9E0-F954-41B3-A4B1-AB99511A74CF}">
          <x14:formula1>
            <xm:f>'Active Projects'!$A$2:$A$110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7E17-4BFF-4874-8995-8C0832454350}">
  <dimension ref="A1:N175"/>
  <sheetViews>
    <sheetView tabSelected="1" topLeftCell="A139" workbookViewId="0">
      <selection activeCell="A153" sqref="A153:J175"/>
    </sheetView>
  </sheetViews>
  <sheetFormatPr defaultRowHeight="15" x14ac:dyDescent="0.25"/>
  <cols>
    <col min="1" max="1" width="10.42578125" bestFit="1" customWidth="1"/>
    <col min="2" max="2" width="23.7109375" bestFit="1" customWidth="1"/>
    <col min="3" max="3" width="51" bestFit="1" customWidth="1"/>
    <col min="9" max="9" width="15.7109375" bestFit="1" customWidth="1"/>
  </cols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45922</v>
      </c>
      <c r="B2" t="s">
        <v>12</v>
      </c>
      <c r="C2" t="s">
        <v>13</v>
      </c>
      <c r="D2">
        <v>12</v>
      </c>
      <c r="E2">
        <v>12.25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25">
      <c r="A3" s="1">
        <v>45922</v>
      </c>
      <c r="B3" t="s">
        <v>18</v>
      </c>
      <c r="C3" t="s">
        <v>11</v>
      </c>
      <c r="D3">
        <v>13.25</v>
      </c>
      <c r="E3">
        <v>13.5</v>
      </c>
      <c r="F3" t="s">
        <v>19</v>
      </c>
      <c r="G3" t="s">
        <v>19</v>
      </c>
      <c r="H3" t="s">
        <v>15</v>
      </c>
      <c r="I3" t="s">
        <v>16</v>
      </c>
      <c r="J3" t="s">
        <v>17</v>
      </c>
    </row>
    <row r="4" spans="1:11" x14ac:dyDescent="0.25">
      <c r="A4" s="1">
        <v>45922</v>
      </c>
      <c r="B4" t="s">
        <v>20</v>
      </c>
      <c r="C4" t="s">
        <v>21</v>
      </c>
      <c r="D4">
        <v>13.75</v>
      </c>
      <c r="E4">
        <v>14.25</v>
      </c>
      <c r="F4" t="s">
        <v>22</v>
      </c>
      <c r="G4" t="s">
        <v>22</v>
      </c>
      <c r="H4" t="s">
        <v>15</v>
      </c>
      <c r="I4" t="s">
        <v>16</v>
      </c>
      <c r="J4" t="s">
        <v>17</v>
      </c>
    </row>
    <row r="5" spans="1:11" x14ac:dyDescent="0.25">
      <c r="A5" s="1">
        <v>45922</v>
      </c>
      <c r="B5" s="2" t="s">
        <v>23</v>
      </c>
      <c r="C5" s="3" t="s">
        <v>24</v>
      </c>
      <c r="D5">
        <v>15</v>
      </c>
      <c r="E5">
        <v>15.75</v>
      </c>
      <c r="F5" t="s">
        <v>25</v>
      </c>
      <c r="G5" t="s">
        <v>25</v>
      </c>
      <c r="H5" t="s">
        <v>15</v>
      </c>
      <c r="I5" t="s">
        <v>16</v>
      </c>
      <c r="J5" t="s">
        <v>17</v>
      </c>
    </row>
    <row r="6" spans="1:11" x14ac:dyDescent="0.25">
      <c r="A6" s="1">
        <v>45922</v>
      </c>
      <c r="B6" t="s">
        <v>26</v>
      </c>
      <c r="C6" t="s">
        <v>26</v>
      </c>
      <c r="D6">
        <v>16</v>
      </c>
      <c r="E6">
        <v>16.25</v>
      </c>
      <c r="F6" t="s">
        <v>27</v>
      </c>
      <c r="G6" t="s">
        <v>27</v>
      </c>
      <c r="H6" t="s">
        <v>15</v>
      </c>
      <c r="I6" t="s">
        <v>28</v>
      </c>
      <c r="J6" t="s">
        <v>17</v>
      </c>
    </row>
    <row r="7" spans="1:11" x14ac:dyDescent="0.25">
      <c r="A7" s="1">
        <v>45922</v>
      </c>
      <c r="B7" t="s">
        <v>18</v>
      </c>
      <c r="C7" t="s">
        <v>11</v>
      </c>
      <c r="D7">
        <v>22</v>
      </c>
      <c r="E7">
        <v>22.25</v>
      </c>
      <c r="F7" t="s">
        <v>30</v>
      </c>
      <c r="G7" t="s">
        <v>30</v>
      </c>
      <c r="H7" t="s">
        <v>15</v>
      </c>
      <c r="I7" t="s">
        <v>16</v>
      </c>
      <c r="J7" t="s">
        <v>17</v>
      </c>
    </row>
    <row r="8" spans="1:11" x14ac:dyDescent="0.25">
      <c r="A8" s="1">
        <v>45923</v>
      </c>
      <c r="B8" t="s">
        <v>35</v>
      </c>
      <c r="C8" t="s">
        <v>36</v>
      </c>
      <c r="D8">
        <v>10.25</v>
      </c>
      <c r="E8">
        <v>10.5</v>
      </c>
      <c r="F8" t="s">
        <v>41</v>
      </c>
      <c r="G8" t="s">
        <v>41</v>
      </c>
      <c r="H8" t="s">
        <v>15</v>
      </c>
      <c r="I8" t="s">
        <v>16</v>
      </c>
      <c r="J8" t="s">
        <v>17</v>
      </c>
    </row>
    <row r="9" spans="1:11" x14ac:dyDescent="0.25">
      <c r="A9" s="1">
        <v>45923</v>
      </c>
      <c r="B9" t="s">
        <v>33</v>
      </c>
      <c r="C9" t="s">
        <v>34</v>
      </c>
      <c r="D9">
        <v>11.5</v>
      </c>
      <c r="E9">
        <v>12</v>
      </c>
      <c r="F9" t="s">
        <v>42</v>
      </c>
      <c r="G9" t="s">
        <v>42</v>
      </c>
      <c r="H9" t="s">
        <v>15</v>
      </c>
      <c r="I9" t="s">
        <v>16</v>
      </c>
      <c r="J9" t="s">
        <v>17</v>
      </c>
    </row>
    <row r="10" spans="1:11" x14ac:dyDescent="0.25">
      <c r="A10" s="1">
        <v>45923</v>
      </c>
      <c r="B10" t="s">
        <v>18</v>
      </c>
      <c r="C10" t="s">
        <v>11</v>
      </c>
      <c r="D10">
        <v>13</v>
      </c>
      <c r="E10">
        <v>13.75</v>
      </c>
      <c r="F10" t="s">
        <v>43</v>
      </c>
      <c r="G10" t="s">
        <v>43</v>
      </c>
      <c r="H10" t="s">
        <v>15</v>
      </c>
      <c r="I10" t="s">
        <v>16</v>
      </c>
      <c r="J10" t="s">
        <v>17</v>
      </c>
    </row>
    <row r="11" spans="1:11" x14ac:dyDescent="0.25">
      <c r="A11" s="1">
        <v>45924</v>
      </c>
      <c r="B11" t="s">
        <v>12</v>
      </c>
      <c r="C11" t="s">
        <v>13</v>
      </c>
      <c r="D11">
        <v>9.5</v>
      </c>
      <c r="E11">
        <v>10</v>
      </c>
      <c r="F11" t="s">
        <v>49</v>
      </c>
      <c r="G11" t="s">
        <v>49</v>
      </c>
      <c r="H11" t="s">
        <v>15</v>
      </c>
      <c r="I11" t="s">
        <v>16</v>
      </c>
      <c r="J11" t="s">
        <v>17</v>
      </c>
    </row>
    <row r="12" spans="1:11" x14ac:dyDescent="0.25">
      <c r="A12" s="1">
        <v>45924</v>
      </c>
      <c r="B12" t="s">
        <v>26</v>
      </c>
      <c r="C12" t="s">
        <v>26</v>
      </c>
      <c r="D12">
        <v>10</v>
      </c>
      <c r="E12">
        <v>12.5</v>
      </c>
      <c r="F12" t="s">
        <v>50</v>
      </c>
      <c r="G12" t="s">
        <v>50</v>
      </c>
      <c r="H12" t="s">
        <v>15</v>
      </c>
      <c r="I12" t="s">
        <v>65</v>
      </c>
      <c r="J12" t="s">
        <v>17</v>
      </c>
    </row>
    <row r="13" spans="1:11" x14ac:dyDescent="0.25">
      <c r="A13" s="1">
        <v>45924</v>
      </c>
      <c r="B13" t="s">
        <v>18</v>
      </c>
      <c r="C13" t="s">
        <v>11</v>
      </c>
      <c r="D13">
        <v>12.5</v>
      </c>
      <c r="E13">
        <v>12.75</v>
      </c>
      <c r="F13" t="s">
        <v>51</v>
      </c>
      <c r="G13" t="s">
        <v>51</v>
      </c>
      <c r="H13" t="s">
        <v>15</v>
      </c>
      <c r="I13" t="s">
        <v>16</v>
      </c>
      <c r="J13" t="s">
        <v>17</v>
      </c>
    </row>
    <row r="14" spans="1:11" x14ac:dyDescent="0.25">
      <c r="A14" s="1">
        <v>45924</v>
      </c>
      <c r="B14" t="s">
        <v>26</v>
      </c>
      <c r="C14" t="s">
        <v>26</v>
      </c>
      <c r="D14">
        <v>12.45</v>
      </c>
      <c r="E14">
        <v>15.5</v>
      </c>
      <c r="F14" t="s">
        <v>52</v>
      </c>
      <c r="G14" t="s">
        <v>52</v>
      </c>
      <c r="H14" t="s">
        <v>15</v>
      </c>
      <c r="I14" t="s">
        <v>65</v>
      </c>
      <c r="J14" t="s">
        <v>17</v>
      </c>
    </row>
    <row r="15" spans="1:11" x14ac:dyDescent="0.25">
      <c r="A15" s="1">
        <v>45924</v>
      </c>
      <c r="B15" t="s">
        <v>53</v>
      </c>
      <c r="C15" t="s">
        <v>54</v>
      </c>
      <c r="D15">
        <v>15.5</v>
      </c>
      <c r="E15">
        <v>16</v>
      </c>
      <c r="F15" t="s">
        <v>55</v>
      </c>
      <c r="G15" t="s">
        <v>55</v>
      </c>
      <c r="H15" t="s">
        <v>15</v>
      </c>
      <c r="I15" t="s">
        <v>16</v>
      </c>
      <c r="J15" t="s">
        <v>17</v>
      </c>
    </row>
    <row r="16" spans="1:11" x14ac:dyDescent="0.25">
      <c r="A16" s="1">
        <v>45924</v>
      </c>
      <c r="B16" t="s">
        <v>31</v>
      </c>
      <c r="C16" t="s">
        <v>32</v>
      </c>
      <c r="D16">
        <v>16.5</v>
      </c>
      <c r="E16">
        <v>17</v>
      </c>
      <c r="F16" t="s">
        <v>57</v>
      </c>
      <c r="G16" t="s">
        <v>57</v>
      </c>
      <c r="H16" t="s">
        <v>15</v>
      </c>
      <c r="I16" t="s">
        <v>16</v>
      </c>
      <c r="J16" t="s">
        <v>17</v>
      </c>
    </row>
    <row r="17" spans="1:10" x14ac:dyDescent="0.25">
      <c r="A17" s="1">
        <v>45925</v>
      </c>
      <c r="B17" t="s">
        <v>31</v>
      </c>
      <c r="C17" t="s">
        <v>32</v>
      </c>
      <c r="D17">
        <v>9.5</v>
      </c>
      <c r="E17">
        <v>11</v>
      </c>
      <c r="F17" t="s">
        <v>58</v>
      </c>
      <c r="G17" t="s">
        <v>58</v>
      </c>
      <c r="H17" t="s">
        <v>15</v>
      </c>
      <c r="I17" t="s">
        <v>16</v>
      </c>
      <c r="J17" t="s">
        <v>17</v>
      </c>
    </row>
    <row r="18" spans="1:10" x14ac:dyDescent="0.25">
      <c r="A18" s="1">
        <v>45925</v>
      </c>
      <c r="B18" t="s">
        <v>23</v>
      </c>
      <c r="C18" t="s">
        <v>24</v>
      </c>
      <c r="D18">
        <v>11</v>
      </c>
      <c r="E18">
        <v>12</v>
      </c>
      <c r="F18" t="s">
        <v>59</v>
      </c>
      <c r="G18" t="s">
        <v>59</v>
      </c>
      <c r="H18" t="s">
        <v>15</v>
      </c>
      <c r="I18" t="s">
        <v>16</v>
      </c>
      <c r="J18" t="s">
        <v>17</v>
      </c>
    </row>
    <row r="19" spans="1:10" x14ac:dyDescent="0.25">
      <c r="A19" s="1">
        <v>45925</v>
      </c>
      <c r="B19" t="s">
        <v>23</v>
      </c>
      <c r="C19" t="s">
        <v>24</v>
      </c>
      <c r="D19">
        <v>13.5</v>
      </c>
      <c r="E19">
        <v>15.25</v>
      </c>
      <c r="F19" t="s">
        <v>60</v>
      </c>
      <c r="G19" t="s">
        <v>60</v>
      </c>
      <c r="H19" t="s">
        <v>15</v>
      </c>
      <c r="I19" t="s">
        <v>16</v>
      </c>
      <c r="J19" t="s">
        <v>17</v>
      </c>
    </row>
    <row r="20" spans="1:10" x14ac:dyDescent="0.25">
      <c r="A20" s="1">
        <v>45925</v>
      </c>
      <c r="B20" t="s">
        <v>18</v>
      </c>
      <c r="C20" t="s">
        <v>11</v>
      </c>
      <c r="D20">
        <v>15.5</v>
      </c>
      <c r="E20">
        <v>16.5</v>
      </c>
      <c r="F20" t="s">
        <v>61</v>
      </c>
      <c r="G20" t="s">
        <v>61</v>
      </c>
      <c r="H20" t="s">
        <v>15</v>
      </c>
      <c r="I20" t="s">
        <v>16</v>
      </c>
      <c r="J20" t="s">
        <v>17</v>
      </c>
    </row>
    <row r="21" spans="1:10" x14ac:dyDescent="0.25">
      <c r="A21" s="1">
        <v>45926</v>
      </c>
      <c r="B21" t="s">
        <v>18</v>
      </c>
      <c r="C21" t="s">
        <v>11</v>
      </c>
      <c r="D21">
        <v>9</v>
      </c>
      <c r="E21">
        <v>10.75</v>
      </c>
      <c r="F21" t="s">
        <v>61</v>
      </c>
      <c r="G21" t="s">
        <v>61</v>
      </c>
      <c r="H21" t="s">
        <v>15</v>
      </c>
      <c r="I21" t="s">
        <v>16</v>
      </c>
      <c r="J21" t="s">
        <v>17</v>
      </c>
    </row>
    <row r="22" spans="1:10" x14ac:dyDescent="0.25">
      <c r="A22" s="1">
        <v>45926</v>
      </c>
      <c r="B22" t="s">
        <v>33</v>
      </c>
      <c r="C22" t="s">
        <v>34</v>
      </c>
      <c r="D22">
        <v>10.75</v>
      </c>
      <c r="E22">
        <v>11</v>
      </c>
      <c r="F22" t="s">
        <v>62</v>
      </c>
      <c r="G22" t="s">
        <v>62</v>
      </c>
      <c r="H22" t="s">
        <v>15</v>
      </c>
      <c r="I22" t="s">
        <v>16</v>
      </c>
      <c r="J22" t="s">
        <v>17</v>
      </c>
    </row>
    <row r="23" spans="1:10" x14ac:dyDescent="0.25">
      <c r="A23" s="1">
        <v>45926</v>
      </c>
      <c r="B23" t="s">
        <v>18</v>
      </c>
      <c r="C23" t="s">
        <v>11</v>
      </c>
      <c r="D23">
        <v>11</v>
      </c>
      <c r="E23">
        <v>12</v>
      </c>
      <c r="F23" t="s">
        <v>61</v>
      </c>
      <c r="G23" t="s">
        <v>61</v>
      </c>
      <c r="H23" t="s">
        <v>15</v>
      </c>
      <c r="I23" t="s">
        <v>16</v>
      </c>
      <c r="J23" t="s">
        <v>17</v>
      </c>
    </row>
    <row r="24" spans="1:10" x14ac:dyDescent="0.25">
      <c r="A24" s="1">
        <v>45926</v>
      </c>
      <c r="B24" t="s">
        <v>23</v>
      </c>
      <c r="C24" t="s">
        <v>24</v>
      </c>
      <c r="D24">
        <v>12</v>
      </c>
      <c r="E24">
        <v>13</v>
      </c>
      <c r="F24" t="s">
        <v>63</v>
      </c>
      <c r="G24" t="s">
        <v>63</v>
      </c>
      <c r="H24" t="s">
        <v>15</v>
      </c>
      <c r="I24" t="s">
        <v>16</v>
      </c>
      <c r="J24" t="s">
        <v>17</v>
      </c>
    </row>
    <row r="25" spans="1:10" x14ac:dyDescent="0.25">
      <c r="A25" s="1">
        <v>45926</v>
      </c>
      <c r="B25" t="s">
        <v>31</v>
      </c>
      <c r="C25" t="s">
        <v>32</v>
      </c>
      <c r="D25">
        <v>13</v>
      </c>
      <c r="E25">
        <v>13.5</v>
      </c>
      <c r="F25" t="s">
        <v>64</v>
      </c>
      <c r="G25" t="s">
        <v>64</v>
      </c>
      <c r="H25" t="s">
        <v>15</v>
      </c>
      <c r="I25" t="s">
        <v>16</v>
      </c>
      <c r="J25" t="s">
        <v>17</v>
      </c>
    </row>
    <row r="26" spans="1:10" x14ac:dyDescent="0.25">
      <c r="A26" s="1">
        <v>45926</v>
      </c>
      <c r="B26" t="s">
        <v>12</v>
      </c>
      <c r="C26" t="s">
        <v>13</v>
      </c>
      <c r="D26">
        <v>14</v>
      </c>
      <c r="E26">
        <v>14.5</v>
      </c>
      <c r="F26" t="s">
        <v>56</v>
      </c>
      <c r="G26" t="s">
        <v>55</v>
      </c>
      <c r="H26" t="s">
        <v>15</v>
      </c>
      <c r="I26" t="s">
        <v>16</v>
      </c>
      <c r="J26" t="s">
        <v>17</v>
      </c>
    </row>
    <row r="27" spans="1:10" x14ac:dyDescent="0.25">
      <c r="A27" s="1">
        <v>45926</v>
      </c>
      <c r="B27" t="s">
        <v>18</v>
      </c>
      <c r="C27" t="s">
        <v>11</v>
      </c>
      <c r="D27">
        <v>14.5</v>
      </c>
      <c r="E27">
        <v>17.5</v>
      </c>
      <c r="F27" t="s">
        <v>61</v>
      </c>
      <c r="G27" t="s">
        <v>61</v>
      </c>
      <c r="H27" t="s">
        <v>15</v>
      </c>
      <c r="I27" t="s">
        <v>16</v>
      </c>
      <c r="J27" t="s">
        <v>17</v>
      </c>
    </row>
    <row r="28" spans="1:10" x14ac:dyDescent="0.25">
      <c r="A28" s="1">
        <v>45929</v>
      </c>
      <c r="D28">
        <v>9</v>
      </c>
      <c r="E28">
        <v>9.5</v>
      </c>
      <c r="F28" t="s">
        <v>66</v>
      </c>
      <c r="G28" t="s">
        <v>66</v>
      </c>
      <c r="H28" t="s">
        <v>15</v>
      </c>
      <c r="I28" t="s">
        <v>65</v>
      </c>
      <c r="J28" t="s">
        <v>17</v>
      </c>
    </row>
    <row r="29" spans="1:10" x14ac:dyDescent="0.25">
      <c r="A29" s="1">
        <v>45929</v>
      </c>
      <c r="D29">
        <v>9.5</v>
      </c>
      <c r="E29">
        <v>10</v>
      </c>
      <c r="F29" t="s">
        <v>67</v>
      </c>
      <c r="G29" t="s">
        <v>67</v>
      </c>
      <c r="H29" t="s">
        <v>15</v>
      </c>
      <c r="I29" t="s">
        <v>65</v>
      </c>
      <c r="J29" t="s">
        <v>17</v>
      </c>
    </row>
    <row r="30" spans="1:10" x14ac:dyDescent="0.25">
      <c r="A30" s="1">
        <v>45929</v>
      </c>
      <c r="B30" t="s">
        <v>18</v>
      </c>
      <c r="C30" t="s">
        <v>11</v>
      </c>
      <c r="D30">
        <v>10</v>
      </c>
      <c r="E30">
        <v>12</v>
      </c>
      <c r="F30" t="s">
        <v>68</v>
      </c>
      <c r="G30" t="s">
        <v>68</v>
      </c>
      <c r="H30" t="s">
        <v>15</v>
      </c>
      <c r="I30" t="s">
        <v>16</v>
      </c>
      <c r="J30" t="s">
        <v>17</v>
      </c>
    </row>
    <row r="31" spans="1:10" x14ac:dyDescent="0.25">
      <c r="A31" s="1">
        <v>45929</v>
      </c>
      <c r="B31" t="s">
        <v>31</v>
      </c>
      <c r="C31" t="s">
        <v>32</v>
      </c>
      <c r="D31">
        <v>11.5</v>
      </c>
      <c r="E31">
        <v>12.75</v>
      </c>
      <c r="F31" t="s">
        <v>69</v>
      </c>
      <c r="G31" t="s">
        <v>69</v>
      </c>
      <c r="H31" t="s">
        <v>15</v>
      </c>
      <c r="I31" t="s">
        <v>16</v>
      </c>
      <c r="J31" t="s">
        <v>17</v>
      </c>
    </row>
    <row r="32" spans="1:10" x14ac:dyDescent="0.25">
      <c r="A32" s="1">
        <v>45929</v>
      </c>
      <c r="B32" t="s">
        <v>18</v>
      </c>
      <c r="C32" t="s">
        <v>11</v>
      </c>
      <c r="D32">
        <v>13</v>
      </c>
      <c r="E32">
        <v>14.5</v>
      </c>
      <c r="F32" t="s">
        <v>70</v>
      </c>
      <c r="G32" t="s">
        <v>70</v>
      </c>
      <c r="H32" t="s">
        <v>15</v>
      </c>
      <c r="I32" t="s">
        <v>16</v>
      </c>
      <c r="J32" t="s">
        <v>17</v>
      </c>
    </row>
    <row r="33" spans="1:14" x14ac:dyDescent="0.25">
      <c r="A33" s="1">
        <v>45929</v>
      </c>
      <c r="B33" t="s">
        <v>23</v>
      </c>
      <c r="C33" t="s">
        <v>24</v>
      </c>
      <c r="D33">
        <v>15</v>
      </c>
      <c r="E33">
        <v>15.5</v>
      </c>
      <c r="F33" t="s">
        <v>25</v>
      </c>
      <c r="G33" t="s">
        <v>25</v>
      </c>
      <c r="H33" t="s">
        <v>15</v>
      </c>
      <c r="I33" t="s">
        <v>16</v>
      </c>
      <c r="J33" t="s">
        <v>17</v>
      </c>
    </row>
    <row r="34" spans="1:14" x14ac:dyDescent="0.25">
      <c r="A34" s="1">
        <v>45930</v>
      </c>
      <c r="D34">
        <v>9.5</v>
      </c>
      <c r="E34">
        <v>10</v>
      </c>
      <c r="F34" t="s">
        <v>71</v>
      </c>
      <c r="G34" t="s">
        <v>71</v>
      </c>
      <c r="I34" t="s">
        <v>65</v>
      </c>
      <c r="J34" t="s">
        <v>17</v>
      </c>
    </row>
    <row r="35" spans="1:14" x14ac:dyDescent="0.25">
      <c r="A35" s="1">
        <v>45930</v>
      </c>
      <c r="B35" t="s">
        <v>23</v>
      </c>
      <c r="C35" t="s">
        <v>24</v>
      </c>
      <c r="D35">
        <v>11.5</v>
      </c>
      <c r="E35">
        <v>12.5</v>
      </c>
      <c r="F35" t="s">
        <v>72</v>
      </c>
      <c r="G35" t="s">
        <v>72</v>
      </c>
      <c r="H35" t="s">
        <v>15</v>
      </c>
      <c r="I35" t="s">
        <v>16</v>
      </c>
      <c r="J35" t="s">
        <v>17</v>
      </c>
    </row>
    <row r="36" spans="1:14" x14ac:dyDescent="0.25">
      <c r="A36" s="1">
        <v>45930</v>
      </c>
      <c r="D36">
        <v>10</v>
      </c>
      <c r="E36">
        <v>11.5</v>
      </c>
      <c r="F36" t="s">
        <v>73</v>
      </c>
      <c r="G36" t="s">
        <v>73</v>
      </c>
      <c r="I36" t="s">
        <v>65</v>
      </c>
      <c r="J36" t="s">
        <v>17</v>
      </c>
    </row>
    <row r="37" spans="1:14" x14ac:dyDescent="0.25">
      <c r="A37" s="1">
        <v>45930</v>
      </c>
      <c r="B37" t="s">
        <v>33</v>
      </c>
      <c r="C37" t="s">
        <v>34</v>
      </c>
      <c r="D37">
        <v>13</v>
      </c>
      <c r="E37">
        <v>13.25</v>
      </c>
      <c r="F37" t="s">
        <v>74</v>
      </c>
      <c r="G37" t="s">
        <v>74</v>
      </c>
      <c r="H37" t="s">
        <v>15</v>
      </c>
      <c r="I37" t="s">
        <v>16</v>
      </c>
      <c r="J37" t="s">
        <v>17</v>
      </c>
    </row>
    <row r="38" spans="1:14" x14ac:dyDescent="0.25">
      <c r="A38" s="1">
        <v>45930</v>
      </c>
      <c r="D38">
        <v>13.25</v>
      </c>
      <c r="E38">
        <v>14.5</v>
      </c>
      <c r="F38" t="s">
        <v>76</v>
      </c>
      <c r="G38" t="s">
        <v>76</v>
      </c>
      <c r="I38" t="s">
        <v>65</v>
      </c>
      <c r="J38" t="s">
        <v>17</v>
      </c>
    </row>
    <row r="39" spans="1:14" x14ac:dyDescent="0.25">
      <c r="A39" s="1">
        <v>45930</v>
      </c>
      <c r="B39" t="s">
        <v>18</v>
      </c>
      <c r="C39" t="s">
        <v>11</v>
      </c>
      <c r="D39">
        <v>14.5</v>
      </c>
      <c r="E39">
        <v>17</v>
      </c>
      <c r="F39" t="s">
        <v>75</v>
      </c>
      <c r="G39" t="s">
        <v>75</v>
      </c>
      <c r="H39" t="s">
        <v>15</v>
      </c>
      <c r="I39" t="s">
        <v>16</v>
      </c>
      <c r="J39" t="s">
        <v>17</v>
      </c>
    </row>
    <row r="40" spans="1:14" x14ac:dyDescent="0.25">
      <c r="A40" s="1">
        <v>45931</v>
      </c>
      <c r="D40">
        <v>8</v>
      </c>
      <c r="E40">
        <v>9</v>
      </c>
      <c r="F40" t="s">
        <v>77</v>
      </c>
      <c r="G40" t="s">
        <v>77</v>
      </c>
      <c r="I40" t="s">
        <v>65</v>
      </c>
      <c r="J40" t="s">
        <v>17</v>
      </c>
      <c r="M40" s="5" t="e" cm="1">
        <f t="array" aca="1" ref="M40" ca="1">_xlfn.TEXTSPLIT(_xlfn.TEXTJOIN(",",TRUE,_xlfn._xlws.FILTER('Active Projects'!B:B, 'Active Projects'!A:A=INDIRECT("B"&amp;ROW()))),",")</f>
        <v>#VALUE!</v>
      </c>
      <c r="N40" s="5"/>
    </row>
    <row r="41" spans="1:14" x14ac:dyDescent="0.25">
      <c r="A41" s="1">
        <v>45931</v>
      </c>
      <c r="B41" t="s">
        <v>18</v>
      </c>
      <c r="C41" t="s">
        <v>11</v>
      </c>
      <c r="D41">
        <v>9</v>
      </c>
      <c r="E41">
        <v>10</v>
      </c>
      <c r="F41" t="s">
        <v>78</v>
      </c>
      <c r="G41" t="s">
        <v>78</v>
      </c>
      <c r="H41" t="s">
        <v>15</v>
      </c>
      <c r="I41" t="s">
        <v>16</v>
      </c>
      <c r="J41" t="s">
        <v>17</v>
      </c>
      <c r="M41" s="5" t="str" cm="1">
        <f t="array" aca="1" ref="M41" ca="1">_xlfn.TEXTSPLIT(_xlfn.TEXTJOIN(",",TRUE,_xlfn._xlws.FILTER('Active Projects'!B:B, 'Active Projects'!A:A=INDIRECT("B"&amp;ROW()))),",")</f>
        <v>Atlas Healthcare Partners-Windows 365 Jumpstart</v>
      </c>
      <c r="N41" s="5"/>
    </row>
    <row r="42" spans="1:14" x14ac:dyDescent="0.25">
      <c r="A42" s="1">
        <v>45931</v>
      </c>
      <c r="D42">
        <v>10</v>
      </c>
      <c r="E42">
        <v>12</v>
      </c>
      <c r="F42" t="s">
        <v>77</v>
      </c>
      <c r="G42" t="s">
        <v>77</v>
      </c>
      <c r="I42" t="s">
        <v>65</v>
      </c>
      <c r="J42" t="s">
        <v>17</v>
      </c>
      <c r="M42" s="5" t="e" cm="1">
        <f t="array" aca="1" ref="M42" ca="1">_xlfn.TEXTSPLIT(_xlfn.TEXTJOIN(",",TRUE,_xlfn._xlws.FILTER('Active Projects'!B:B, 'Active Projects'!A:A=INDIRECT("B"&amp;ROW()))),",")</f>
        <v>#VALUE!</v>
      </c>
      <c r="N42" s="5"/>
    </row>
    <row r="43" spans="1:14" x14ac:dyDescent="0.25">
      <c r="A43" s="1">
        <v>45931</v>
      </c>
      <c r="D43">
        <v>13</v>
      </c>
      <c r="E43">
        <v>16</v>
      </c>
      <c r="F43" t="s">
        <v>79</v>
      </c>
      <c r="G43" t="s">
        <v>79</v>
      </c>
      <c r="I43" t="s">
        <v>65</v>
      </c>
      <c r="J43" t="s">
        <v>17</v>
      </c>
      <c r="M43" s="5" t="e" cm="1">
        <f t="array" aca="1" ref="M43" ca="1">_xlfn.TEXTSPLIT(_xlfn.TEXTJOIN(",",TRUE,_xlfn._xlws.FILTER('Active Projects'!B:B, 'Active Projects'!A:A=INDIRECT("B"&amp;ROW()))),",")</f>
        <v>#VALUE!</v>
      </c>
      <c r="N43" s="5"/>
    </row>
    <row r="44" spans="1:14" x14ac:dyDescent="0.25">
      <c r="A44" s="1">
        <v>45931</v>
      </c>
      <c r="D44">
        <v>16</v>
      </c>
      <c r="E44">
        <v>17</v>
      </c>
      <c r="F44" t="s">
        <v>80</v>
      </c>
      <c r="G44" t="s">
        <v>81</v>
      </c>
      <c r="I44" t="s">
        <v>65</v>
      </c>
      <c r="J44" t="s">
        <v>17</v>
      </c>
      <c r="M44" s="5" t="e" cm="1">
        <f t="array" aca="1" ref="M44" ca="1">_xlfn.TEXTSPLIT(_xlfn.TEXTJOIN(",",TRUE,_xlfn._xlws.FILTER('Active Projects'!B:B, 'Active Projects'!A:A=INDIRECT("B"&amp;ROW()))),",")</f>
        <v>#VALUE!</v>
      </c>
      <c r="N44" s="5"/>
    </row>
    <row r="45" spans="1:14" x14ac:dyDescent="0.25">
      <c r="A45" s="1">
        <v>45932</v>
      </c>
      <c r="B45" t="s">
        <v>33</v>
      </c>
      <c r="C45" t="s">
        <v>34</v>
      </c>
      <c r="D45">
        <v>9</v>
      </c>
      <c r="E45">
        <v>13.5</v>
      </c>
      <c r="F45" t="s">
        <v>82</v>
      </c>
      <c r="G45" t="s">
        <v>82</v>
      </c>
      <c r="H45" t="s">
        <v>15</v>
      </c>
      <c r="I45" t="s">
        <v>16</v>
      </c>
      <c r="J45" t="s">
        <v>17</v>
      </c>
      <c r="M45" s="5" t="str" cm="1">
        <f t="array" aca="1" ref="M45" ca="1">_xlfn.TEXTSPLIT(_xlfn.TEXTJOIN(",",TRUE,_xlfn._xlws.FILTER('Active Projects'!B:B, 'Active Projects'!A:A=INDIRECT("B"&amp;ROW()))),",")</f>
        <v>WK Kellogg-AVD and Windows 365</v>
      </c>
      <c r="N45" s="5"/>
    </row>
    <row r="46" spans="1:14" x14ac:dyDescent="0.25">
      <c r="A46" s="1">
        <v>45932</v>
      </c>
      <c r="D46">
        <v>11.5</v>
      </c>
      <c r="E46">
        <v>12</v>
      </c>
      <c r="F46" t="s">
        <v>83</v>
      </c>
      <c r="G46" t="s">
        <v>83</v>
      </c>
      <c r="I46" t="s">
        <v>28</v>
      </c>
      <c r="J46" t="s">
        <v>17</v>
      </c>
      <c r="M46" s="5" t="e" cm="1">
        <f t="array" aca="1" ref="M46" ca="1">_xlfn.TEXTSPLIT(_xlfn.TEXTJOIN(",",TRUE,_xlfn._xlws.FILTER('Active Projects'!B:B, 'Active Projects'!A:A=INDIRECT("B"&amp;ROW()))),",")</f>
        <v>#VALUE!</v>
      </c>
      <c r="N46" s="5"/>
    </row>
    <row r="47" spans="1:14" x14ac:dyDescent="0.25">
      <c r="A47" s="1">
        <v>45932</v>
      </c>
      <c r="B47" t="s">
        <v>33</v>
      </c>
      <c r="C47" t="s">
        <v>34</v>
      </c>
      <c r="D47">
        <v>14.5</v>
      </c>
      <c r="E47">
        <v>17</v>
      </c>
      <c r="F47" t="s">
        <v>82</v>
      </c>
      <c r="G47" t="s">
        <v>82</v>
      </c>
      <c r="H47" t="s">
        <v>15</v>
      </c>
      <c r="I47" t="s">
        <v>16</v>
      </c>
      <c r="J47" t="s">
        <v>17</v>
      </c>
      <c r="M47" s="5" t="str" cm="1">
        <f t="array" aca="1" ref="M47" ca="1">_xlfn.TEXTSPLIT(_xlfn.TEXTJOIN(",",TRUE,_xlfn._xlws.FILTER('Active Projects'!B:B, 'Active Projects'!A:A=INDIRECT("B"&amp;ROW()))),",")</f>
        <v>WK Kellogg-AVD and Windows 365</v>
      </c>
      <c r="N47" s="5"/>
    </row>
    <row r="48" spans="1:14" x14ac:dyDescent="0.25">
      <c r="A48" s="1">
        <v>45933</v>
      </c>
      <c r="B48" t="s">
        <v>33</v>
      </c>
      <c r="C48" t="s">
        <v>34</v>
      </c>
      <c r="D48">
        <v>8.75</v>
      </c>
      <c r="E48">
        <v>9.5</v>
      </c>
      <c r="F48" t="s">
        <v>82</v>
      </c>
      <c r="G48" t="s">
        <v>82</v>
      </c>
      <c r="H48" t="s">
        <v>15</v>
      </c>
      <c r="I48" t="s">
        <v>16</v>
      </c>
      <c r="J48" t="s">
        <v>17</v>
      </c>
      <c r="M48" s="5" t="str" cm="1">
        <f t="array" aca="1" ref="M48" ca="1">_xlfn.TEXTSPLIT(_xlfn.TEXTJOIN(",",TRUE,_xlfn._xlws.FILTER('Active Projects'!B:B, 'Active Projects'!A:A=INDIRECT("B"&amp;ROW()))),",")</f>
        <v>WK Kellogg-AVD and Windows 365</v>
      </c>
      <c r="N48" s="5"/>
    </row>
    <row r="49" spans="1:14" x14ac:dyDescent="0.25">
      <c r="A49" s="1">
        <v>45933</v>
      </c>
      <c r="B49" t="s">
        <v>23</v>
      </c>
      <c r="C49" t="s">
        <v>24</v>
      </c>
      <c r="D49">
        <v>9.5</v>
      </c>
      <c r="E49">
        <v>11.5</v>
      </c>
      <c r="F49" t="s">
        <v>84</v>
      </c>
      <c r="G49" t="s">
        <v>84</v>
      </c>
      <c r="H49" t="s">
        <v>15</v>
      </c>
      <c r="I49" t="s">
        <v>16</v>
      </c>
      <c r="J49" t="s">
        <v>17</v>
      </c>
      <c r="M49" s="5" t="str" cm="1">
        <f t="array" aca="1" ref="M49:N49" ca="1">_xlfn.TEXTSPLIT(_xlfn.TEXTJOIN(",",TRUE,_xlfn._xlws.FILTER('Active Projects'!B:B, 'Active Projects'!A:A=INDIRECT("B"&amp;ROW()))),",")</f>
        <v>Credit Interlink-Production to Azure Migration T_M</v>
      </c>
      <c r="N49" s="5" t="str">
        <f ca="1"/>
        <v>Credit Interlink-DR_HA Configuration</v>
      </c>
    </row>
    <row r="50" spans="1:14" x14ac:dyDescent="0.25">
      <c r="A50" s="1">
        <v>45933</v>
      </c>
      <c r="B50" t="s">
        <v>33</v>
      </c>
      <c r="C50" t="s">
        <v>34</v>
      </c>
      <c r="D50">
        <v>11.5</v>
      </c>
      <c r="E50">
        <v>12</v>
      </c>
      <c r="F50" t="s">
        <v>85</v>
      </c>
      <c r="G50" t="s">
        <v>85</v>
      </c>
      <c r="H50" t="s">
        <v>15</v>
      </c>
      <c r="I50" t="s">
        <v>16</v>
      </c>
      <c r="J50" t="s">
        <v>17</v>
      </c>
      <c r="M50" s="5" t="str" cm="1">
        <f t="array" aca="1" ref="M50" ca="1">_xlfn.TEXTSPLIT(_xlfn.TEXTJOIN(",",TRUE,_xlfn._xlws.FILTER('Active Projects'!B:B, 'Active Projects'!A:A=INDIRECT("B"&amp;ROW()))),",")</f>
        <v>WK Kellogg-AVD and Windows 365</v>
      </c>
      <c r="N50" s="5"/>
    </row>
    <row r="51" spans="1:14" x14ac:dyDescent="0.25">
      <c r="A51" s="1">
        <v>45933</v>
      </c>
      <c r="B51" t="s">
        <v>86</v>
      </c>
      <c r="C51" t="s">
        <v>87</v>
      </c>
      <c r="D51">
        <v>13.25</v>
      </c>
      <c r="E51">
        <v>14</v>
      </c>
      <c r="F51" t="s">
        <v>88</v>
      </c>
      <c r="G51" t="s">
        <v>88</v>
      </c>
      <c r="H51" t="s">
        <v>15</v>
      </c>
      <c r="I51" t="s">
        <v>16</v>
      </c>
      <c r="J51" t="s">
        <v>17</v>
      </c>
      <c r="M51" s="5" t="str" cm="1">
        <f t="array" aca="1" ref="M51:N51" ca="1">_xlfn.TEXTSPLIT(_xlfn.TEXTJOIN(",",TRUE,_xlfn._xlws.FILTER('Active Projects'!B:B, 'Active Projects'!A:A=INDIRECT("B"&amp;ROW()))),",")</f>
        <v>Brightstar Care-Azure Network Services</v>
      </c>
      <c r="N51" s="5" t="str">
        <f ca="1"/>
        <v>Brightstar Care-Azure Network Services Review Calls</v>
      </c>
    </row>
    <row r="52" spans="1:14" x14ac:dyDescent="0.25">
      <c r="A52" s="1">
        <v>45933</v>
      </c>
      <c r="B52" t="s">
        <v>33</v>
      </c>
      <c r="C52" t="s">
        <v>34</v>
      </c>
      <c r="D52">
        <v>14</v>
      </c>
      <c r="E52">
        <v>15.5</v>
      </c>
      <c r="F52" t="s">
        <v>89</v>
      </c>
      <c r="G52" t="s">
        <v>89</v>
      </c>
      <c r="H52" t="s">
        <v>15</v>
      </c>
      <c r="I52" t="s">
        <v>16</v>
      </c>
      <c r="J52" t="s">
        <v>17</v>
      </c>
      <c r="M52" s="5" t="str" cm="1">
        <f t="array" aca="1" ref="M52" ca="1">_xlfn.TEXTSPLIT(_xlfn.TEXTJOIN(",",TRUE,_xlfn._xlws.FILTER('Active Projects'!B:B, 'Active Projects'!A:A=INDIRECT("B"&amp;ROW()))),",")</f>
        <v>WK Kellogg-AVD and Windows 365</v>
      </c>
      <c r="N52" s="5"/>
    </row>
    <row r="53" spans="1:14" x14ac:dyDescent="0.25">
      <c r="A53" s="1">
        <v>45936</v>
      </c>
      <c r="B53" t="s">
        <v>33</v>
      </c>
      <c r="C53" t="s">
        <v>34</v>
      </c>
      <c r="D53">
        <v>9</v>
      </c>
      <c r="E53">
        <v>11.25</v>
      </c>
      <c r="F53" t="s">
        <v>90</v>
      </c>
      <c r="G53" t="s">
        <v>90</v>
      </c>
      <c r="H53" t="s">
        <v>15</v>
      </c>
      <c r="I53" t="s">
        <v>16</v>
      </c>
      <c r="J53" t="s">
        <v>17</v>
      </c>
      <c r="M53" s="5" t="str" cm="1">
        <f t="array" aca="1" ref="M53" ca="1">_xlfn.TEXTSPLIT(_xlfn.TEXTJOIN(",",TRUE,_xlfn._xlws.FILTER('Active Projects'!B:B, 'Active Projects'!A:A=INDIRECT("B"&amp;ROW()))),",")</f>
        <v>WK Kellogg-AVD and Windows 365</v>
      </c>
      <c r="N53" s="5"/>
    </row>
    <row r="54" spans="1:14" x14ac:dyDescent="0.25">
      <c r="A54" s="1">
        <v>45936</v>
      </c>
      <c r="D54">
        <v>11.25</v>
      </c>
      <c r="E54">
        <v>13.5</v>
      </c>
      <c r="F54" t="s">
        <v>91</v>
      </c>
      <c r="G54" t="s">
        <v>91</v>
      </c>
      <c r="H54" t="s">
        <v>15</v>
      </c>
      <c r="I54" t="s">
        <v>65</v>
      </c>
      <c r="J54" t="s">
        <v>17</v>
      </c>
      <c r="M54" s="5" t="e" cm="1">
        <f t="array" aca="1" ref="M54" ca="1">_xlfn.TEXTSPLIT(_xlfn.TEXTJOIN(",",TRUE,_xlfn._xlws.FILTER('Active Projects'!B:B, 'Active Projects'!A:A=INDIRECT("B"&amp;ROW()))),",")</f>
        <v>#VALUE!</v>
      </c>
      <c r="N54" s="5"/>
    </row>
    <row r="55" spans="1:14" x14ac:dyDescent="0.25">
      <c r="A55" s="1">
        <v>45936</v>
      </c>
      <c r="B55" t="s">
        <v>23</v>
      </c>
      <c r="C55" t="s">
        <v>24</v>
      </c>
      <c r="D55">
        <v>13.5</v>
      </c>
      <c r="E55">
        <v>14</v>
      </c>
      <c r="F55" t="s">
        <v>92</v>
      </c>
      <c r="G55" t="s">
        <v>92</v>
      </c>
      <c r="H55" t="s">
        <v>15</v>
      </c>
      <c r="I55" t="s">
        <v>16</v>
      </c>
      <c r="J55" t="s">
        <v>17</v>
      </c>
      <c r="M55" s="5" t="str" cm="1">
        <f t="array" aca="1" ref="M55:N55" ca="1">_xlfn.TEXTSPLIT(_xlfn.TEXTJOIN(",",TRUE,_xlfn._xlws.FILTER('Active Projects'!B:B, 'Active Projects'!A:A=INDIRECT("B"&amp;ROW()))),",")</f>
        <v>Credit Interlink-Production to Azure Migration T_M</v>
      </c>
      <c r="N55" s="5" t="str">
        <f ca="1"/>
        <v>Credit Interlink-DR_HA Configuration</v>
      </c>
    </row>
    <row r="56" spans="1:14" x14ac:dyDescent="0.25">
      <c r="A56" s="1">
        <v>45936</v>
      </c>
      <c r="B56" t="s">
        <v>20</v>
      </c>
      <c r="C56" t="s">
        <v>21</v>
      </c>
      <c r="D56">
        <v>14</v>
      </c>
      <c r="E56">
        <v>14.5</v>
      </c>
      <c r="F56" t="s">
        <v>93</v>
      </c>
      <c r="G56" t="s">
        <v>93</v>
      </c>
      <c r="H56" t="s">
        <v>15</v>
      </c>
      <c r="I56" t="s">
        <v>16</v>
      </c>
      <c r="J56" t="s">
        <v>17</v>
      </c>
      <c r="M56" s="5" t="str" cm="1">
        <f t="array" aca="1" ref="M56" ca="1">_xlfn.TEXTSPLIT(_xlfn.TEXTJOIN(",",TRUE,_xlfn._xlws.FILTER('Active Projects'!B:B, 'Active Projects'!A:A=INDIRECT("B"&amp;ROW()))),",")</f>
        <v>Fortis Cyber Security Delivery</v>
      </c>
      <c r="N56" s="5"/>
    </row>
    <row r="57" spans="1:14" x14ac:dyDescent="0.25">
      <c r="A57" s="1">
        <v>45936</v>
      </c>
      <c r="B57" t="s">
        <v>23</v>
      </c>
      <c r="C57" t="s">
        <v>24</v>
      </c>
      <c r="D57">
        <v>14.75</v>
      </c>
      <c r="E57">
        <v>15.5</v>
      </c>
      <c r="F57" t="s">
        <v>94</v>
      </c>
      <c r="G57" t="s">
        <v>94</v>
      </c>
      <c r="H57" t="s">
        <v>15</v>
      </c>
      <c r="I57" t="s">
        <v>16</v>
      </c>
      <c r="J57" t="s">
        <v>17</v>
      </c>
      <c r="M57" s="5" t="str" cm="1">
        <f t="array" aca="1" ref="M57:N57" ca="1">_xlfn.TEXTSPLIT(_xlfn.TEXTJOIN(",",TRUE,_xlfn._xlws.FILTER('Active Projects'!B:B, 'Active Projects'!A:A=INDIRECT("B"&amp;ROW()))),",")</f>
        <v>Credit Interlink-Production to Azure Migration T_M</v>
      </c>
      <c r="N57" s="5" t="str">
        <f ca="1"/>
        <v>Credit Interlink-DR_HA Configuration</v>
      </c>
    </row>
    <row r="58" spans="1:14" x14ac:dyDescent="0.25">
      <c r="A58" s="1">
        <v>45937</v>
      </c>
      <c r="B58" t="s">
        <v>23</v>
      </c>
      <c r="C58" t="s">
        <v>24</v>
      </c>
      <c r="D58">
        <v>8.5</v>
      </c>
      <c r="E58">
        <v>11</v>
      </c>
      <c r="F58" t="s">
        <v>95</v>
      </c>
      <c r="G58" t="s">
        <v>95</v>
      </c>
      <c r="H58" t="s">
        <v>15</v>
      </c>
      <c r="I58" t="s">
        <v>16</v>
      </c>
      <c r="J58" t="s">
        <v>17</v>
      </c>
      <c r="M58" s="5" t="str" cm="1">
        <f t="array" aca="1" ref="M58:N58" ca="1">_xlfn.TEXTSPLIT(_xlfn.TEXTJOIN(",",TRUE,_xlfn._xlws.FILTER('Active Projects'!B:B, 'Active Projects'!A:A=INDIRECT("B"&amp;ROW()))),",")</f>
        <v>Credit Interlink-Production to Azure Migration T_M</v>
      </c>
      <c r="N58" s="5" t="str">
        <f ca="1"/>
        <v>Credit Interlink-DR_HA Configuration</v>
      </c>
    </row>
    <row r="59" spans="1:14" x14ac:dyDescent="0.25">
      <c r="A59" s="1">
        <v>45937</v>
      </c>
      <c r="B59" t="s">
        <v>39</v>
      </c>
      <c r="C59" t="s">
        <v>40</v>
      </c>
      <c r="D59">
        <v>10.5</v>
      </c>
      <c r="E59">
        <v>11</v>
      </c>
      <c r="F59" t="s">
        <v>42</v>
      </c>
      <c r="G59" t="s">
        <v>42</v>
      </c>
      <c r="H59" t="s">
        <v>15</v>
      </c>
      <c r="I59" t="s">
        <v>16</v>
      </c>
      <c r="J59" t="s">
        <v>17</v>
      </c>
      <c r="M59" s="5" t="str" cm="1">
        <f t="array" aca="1" ref="M59" ca="1">_xlfn.TEXTSPLIT(_xlfn.TEXTJOIN(",",TRUE,_xlfn._xlws.FILTER('Active Projects'!B:B, 'Active Projects'!A:A=INDIRECT("B"&amp;ROW()))),",")</f>
        <v>Silver Cross Hospital-Redcap Azure Configuration</v>
      </c>
      <c r="N59" s="5"/>
    </row>
    <row r="60" spans="1:14" x14ac:dyDescent="0.25">
      <c r="A60" s="1">
        <v>45937</v>
      </c>
      <c r="B60" t="s">
        <v>96</v>
      </c>
      <c r="C60" t="s">
        <v>97</v>
      </c>
      <c r="D60">
        <v>11.5</v>
      </c>
      <c r="E60">
        <v>11.75</v>
      </c>
      <c r="F60" t="s">
        <v>42</v>
      </c>
      <c r="G60" t="s">
        <v>42</v>
      </c>
      <c r="H60" t="s">
        <v>15</v>
      </c>
      <c r="I60" t="s">
        <v>16</v>
      </c>
      <c r="J60" t="s">
        <v>17</v>
      </c>
      <c r="M60" s="5" t="str" cm="1">
        <f t="array" aca="1" ref="M60" ca="1">_xlfn.TEXTSPLIT(_xlfn.TEXTJOIN(",",TRUE,_xlfn._xlws.FILTER('Active Projects'!B:B, 'Active Projects'!A:A=INDIRECT("B"&amp;ROW()))),",")</f>
        <v>National Council of State Boards of Nursing-Microsoft Resource</v>
      </c>
      <c r="N60" s="5"/>
    </row>
    <row r="61" spans="1:14" x14ac:dyDescent="0.25">
      <c r="A61" s="1">
        <v>45937</v>
      </c>
      <c r="B61" t="s">
        <v>23</v>
      </c>
      <c r="C61" t="s">
        <v>24</v>
      </c>
      <c r="D61">
        <v>11.75</v>
      </c>
      <c r="E61">
        <v>12</v>
      </c>
      <c r="F61" t="s">
        <v>98</v>
      </c>
      <c r="G61" t="s">
        <v>98</v>
      </c>
      <c r="H61" t="s">
        <v>15</v>
      </c>
      <c r="I61" t="s">
        <v>16</v>
      </c>
      <c r="J61" t="s">
        <v>17</v>
      </c>
      <c r="M61" s="5" t="str" cm="1">
        <f t="array" aca="1" ref="M61:N61" ca="1">_xlfn.TEXTSPLIT(_xlfn.TEXTJOIN(",",TRUE,_xlfn._xlws.FILTER('Active Projects'!B:B, 'Active Projects'!A:A=INDIRECT("B"&amp;ROW()))),",")</f>
        <v>Credit Interlink-Production to Azure Migration T_M</v>
      </c>
      <c r="N61" s="5" t="str">
        <f ca="1"/>
        <v>Credit Interlink-DR_HA Configuration</v>
      </c>
    </row>
    <row r="62" spans="1:14" x14ac:dyDescent="0.25">
      <c r="A62" s="1">
        <v>45937</v>
      </c>
      <c r="B62" t="s">
        <v>86</v>
      </c>
      <c r="C62" t="s">
        <v>87</v>
      </c>
      <c r="D62">
        <v>14</v>
      </c>
      <c r="E62">
        <v>14.5</v>
      </c>
      <c r="F62" t="s">
        <v>42</v>
      </c>
      <c r="G62" t="s">
        <v>42</v>
      </c>
      <c r="H62" t="s">
        <v>15</v>
      </c>
      <c r="I62" t="s">
        <v>16</v>
      </c>
      <c r="J62" t="s">
        <v>17</v>
      </c>
      <c r="M62" s="5" t="str" cm="1">
        <f t="array" aca="1" ref="M62:N62" ca="1">_xlfn.TEXTSPLIT(_xlfn.TEXTJOIN(",",TRUE,_xlfn._xlws.FILTER('Active Projects'!B:B, 'Active Projects'!A:A=INDIRECT("B"&amp;ROW()))),",")</f>
        <v>Brightstar Care-Azure Network Services</v>
      </c>
      <c r="N62" s="5" t="str">
        <f ca="1"/>
        <v>Brightstar Care-Azure Network Services Review Calls</v>
      </c>
    </row>
    <row r="63" spans="1:14" x14ac:dyDescent="0.25">
      <c r="A63" s="1">
        <v>45937</v>
      </c>
      <c r="B63" t="s">
        <v>23</v>
      </c>
      <c r="C63" t="s">
        <v>24</v>
      </c>
      <c r="D63">
        <v>14.5</v>
      </c>
      <c r="E63">
        <v>15</v>
      </c>
      <c r="F63" t="s">
        <v>98</v>
      </c>
      <c r="G63" t="s">
        <v>98</v>
      </c>
      <c r="H63" t="s">
        <v>15</v>
      </c>
      <c r="I63" t="s">
        <v>16</v>
      </c>
      <c r="J63" t="s">
        <v>17</v>
      </c>
      <c r="M63" s="5" t="str" cm="1">
        <f t="array" aca="1" ref="M63:N63" ca="1">_xlfn.TEXTSPLIT(_xlfn.TEXTJOIN(",",TRUE,_xlfn._xlws.FILTER('Active Projects'!B:B, 'Active Projects'!A:A=INDIRECT("B"&amp;ROW()))),",")</f>
        <v>Credit Interlink-Production to Azure Migration T_M</v>
      </c>
      <c r="N63" s="5" t="str">
        <f ca="1"/>
        <v>Credit Interlink-DR_HA Configuration</v>
      </c>
    </row>
    <row r="64" spans="1:14" x14ac:dyDescent="0.25">
      <c r="A64" s="1">
        <v>45937</v>
      </c>
      <c r="B64" t="s">
        <v>33</v>
      </c>
      <c r="C64" t="s">
        <v>34</v>
      </c>
      <c r="D64">
        <v>15</v>
      </c>
      <c r="E64">
        <v>16.25</v>
      </c>
      <c r="F64" t="s">
        <v>99</v>
      </c>
      <c r="G64" t="s">
        <v>99</v>
      </c>
      <c r="H64" t="s">
        <v>15</v>
      </c>
      <c r="I64" t="s">
        <v>16</v>
      </c>
      <c r="J64" t="s">
        <v>17</v>
      </c>
      <c r="M64" s="5" t="str" cm="1">
        <f t="array" aca="1" ref="M64" ca="1">_xlfn.TEXTSPLIT(_xlfn.TEXTJOIN(",",TRUE,_xlfn._xlws.FILTER('Active Projects'!B:B, 'Active Projects'!A:A=INDIRECT("B"&amp;ROW()))),",")</f>
        <v>WK Kellogg-AVD and Windows 365</v>
      </c>
      <c r="N64" s="5"/>
    </row>
    <row r="65" spans="1:14" x14ac:dyDescent="0.25">
      <c r="A65" s="1">
        <v>45937</v>
      </c>
      <c r="B65" t="s">
        <v>23</v>
      </c>
      <c r="C65" t="s">
        <v>24</v>
      </c>
      <c r="D65">
        <v>16.25</v>
      </c>
      <c r="E65">
        <v>17</v>
      </c>
      <c r="F65" t="s">
        <v>98</v>
      </c>
      <c r="G65" t="s">
        <v>98</v>
      </c>
      <c r="H65" t="s">
        <v>15</v>
      </c>
      <c r="I65" t="s">
        <v>16</v>
      </c>
      <c r="J65" t="s">
        <v>17</v>
      </c>
      <c r="M65" s="5" t="str" cm="1">
        <f t="array" aca="1" ref="M65:N65" ca="1">_xlfn.TEXTSPLIT(_xlfn.TEXTJOIN(",",TRUE,_xlfn._xlws.FILTER('Active Projects'!B:B, 'Active Projects'!A:A=INDIRECT("B"&amp;ROW()))),",")</f>
        <v>Credit Interlink-Production to Azure Migration T_M</v>
      </c>
      <c r="N65" s="5" t="str">
        <f ca="1"/>
        <v>Credit Interlink-DR_HA Configuration</v>
      </c>
    </row>
    <row r="66" spans="1:14" x14ac:dyDescent="0.25">
      <c r="A66" s="1">
        <v>45938</v>
      </c>
      <c r="D66">
        <v>9</v>
      </c>
      <c r="E66">
        <v>10.5</v>
      </c>
      <c r="F66" t="s">
        <v>103</v>
      </c>
      <c r="G66" t="s">
        <v>103</v>
      </c>
      <c r="I66" t="s">
        <v>65</v>
      </c>
      <c r="J66" t="s">
        <v>17</v>
      </c>
      <c r="M66" s="5" t="e" cm="1">
        <f t="array" aca="1" ref="M66" ca="1">_xlfn.TEXTSPLIT(_xlfn.TEXTJOIN(",",TRUE,_xlfn._xlws.FILTER('Active Projects'!B:B, 'Active Projects'!A:A=INDIRECT("B"&amp;ROW()))),",")</f>
        <v>#VALUE!</v>
      </c>
      <c r="N66" s="5"/>
    </row>
    <row r="67" spans="1:14" x14ac:dyDescent="0.25">
      <c r="A67" s="1">
        <v>45938</v>
      </c>
      <c r="B67" t="s">
        <v>23</v>
      </c>
      <c r="C67" t="s">
        <v>24</v>
      </c>
      <c r="D67">
        <v>10.75</v>
      </c>
      <c r="E67">
        <v>14</v>
      </c>
      <c r="F67" t="s">
        <v>104</v>
      </c>
      <c r="G67" t="s">
        <v>104</v>
      </c>
      <c r="H67" t="s">
        <v>15</v>
      </c>
      <c r="I67" t="s">
        <v>16</v>
      </c>
      <c r="J67" t="s">
        <v>17</v>
      </c>
      <c r="M67" s="5" t="str" cm="1">
        <f t="array" aca="1" ref="M67:N67" ca="1">_xlfn.TEXTSPLIT(_xlfn.TEXTJOIN(",",TRUE,_xlfn._xlws.FILTER('Active Projects'!B:B, 'Active Projects'!A:A=INDIRECT("B"&amp;ROW()))),",")</f>
        <v>Credit Interlink-Production to Azure Migration T_M</v>
      </c>
      <c r="N67" s="5" t="str">
        <f ca="1"/>
        <v>Credit Interlink-DR_HA Configuration</v>
      </c>
    </row>
    <row r="68" spans="1:14" x14ac:dyDescent="0.25">
      <c r="A68" s="1">
        <v>45939</v>
      </c>
      <c r="B68" t="s">
        <v>120</v>
      </c>
      <c r="C68" t="s">
        <v>24</v>
      </c>
      <c r="D68">
        <v>8.75</v>
      </c>
      <c r="E68">
        <v>10.5</v>
      </c>
      <c r="F68" t="s">
        <v>105</v>
      </c>
      <c r="G68" t="s">
        <v>105</v>
      </c>
      <c r="H68" t="s">
        <v>15</v>
      </c>
      <c r="I68" t="s">
        <v>16</v>
      </c>
      <c r="J68" t="s">
        <v>17</v>
      </c>
    </row>
    <row r="69" spans="1:14" x14ac:dyDescent="0.25">
      <c r="A69" s="1">
        <v>45939</v>
      </c>
      <c r="B69" t="s">
        <v>33</v>
      </c>
      <c r="C69" t="s">
        <v>34</v>
      </c>
      <c r="D69">
        <v>10.5</v>
      </c>
      <c r="E69">
        <v>10.75</v>
      </c>
      <c r="F69" t="s">
        <v>110</v>
      </c>
      <c r="G69" t="s">
        <v>110</v>
      </c>
      <c r="H69" t="s">
        <v>15</v>
      </c>
      <c r="I69" t="s">
        <v>16</v>
      </c>
      <c r="J69" t="s">
        <v>17</v>
      </c>
    </row>
    <row r="70" spans="1:14" x14ac:dyDescent="0.25">
      <c r="A70" s="1">
        <v>45939</v>
      </c>
      <c r="B70" t="s">
        <v>120</v>
      </c>
      <c r="C70" t="s">
        <v>24</v>
      </c>
      <c r="D70">
        <v>10.75</v>
      </c>
      <c r="E70">
        <v>11</v>
      </c>
      <c r="F70" t="s">
        <v>119</v>
      </c>
      <c r="G70" t="s">
        <v>119</v>
      </c>
      <c r="H70" t="s">
        <v>15</v>
      </c>
      <c r="I70" t="s">
        <v>16</v>
      </c>
      <c r="J70" t="s">
        <v>17</v>
      </c>
    </row>
    <row r="71" spans="1:14" x14ac:dyDescent="0.25">
      <c r="A71" s="1">
        <v>45939</v>
      </c>
      <c r="B71" t="s">
        <v>102</v>
      </c>
      <c r="C71" t="s">
        <v>100</v>
      </c>
      <c r="D71">
        <v>15.5</v>
      </c>
      <c r="E71">
        <v>16</v>
      </c>
      <c r="F71" t="s">
        <v>88</v>
      </c>
      <c r="G71" t="s">
        <v>88</v>
      </c>
      <c r="H71" t="s">
        <v>15</v>
      </c>
      <c r="I71" t="s">
        <v>16</v>
      </c>
      <c r="J71" t="s">
        <v>17</v>
      </c>
    </row>
    <row r="72" spans="1:14" x14ac:dyDescent="0.25">
      <c r="A72" s="1">
        <v>45939</v>
      </c>
      <c r="B72" t="s">
        <v>120</v>
      </c>
      <c r="C72" t="s">
        <v>24</v>
      </c>
      <c r="D72">
        <v>13</v>
      </c>
      <c r="E72">
        <v>15</v>
      </c>
      <c r="F72" t="s">
        <v>105</v>
      </c>
      <c r="G72" t="s">
        <v>105</v>
      </c>
      <c r="H72" t="s">
        <v>15</v>
      </c>
      <c r="I72" t="s">
        <v>16</v>
      </c>
      <c r="J72" t="s">
        <v>17</v>
      </c>
    </row>
    <row r="73" spans="1:14" x14ac:dyDescent="0.25">
      <c r="A73" s="1">
        <v>45939</v>
      </c>
      <c r="B73" t="s">
        <v>121</v>
      </c>
      <c r="C73" t="s">
        <v>21</v>
      </c>
      <c r="D73">
        <v>16.5</v>
      </c>
      <c r="E73">
        <v>17</v>
      </c>
      <c r="F73" t="s">
        <v>42</v>
      </c>
      <c r="G73" t="s">
        <v>42</v>
      </c>
      <c r="H73" t="s">
        <v>15</v>
      </c>
      <c r="I73" t="s">
        <v>16</v>
      </c>
      <c r="J73" t="s">
        <v>17</v>
      </c>
    </row>
    <row r="74" spans="1:14" x14ac:dyDescent="0.25">
      <c r="A74" s="1">
        <v>45940</v>
      </c>
      <c r="B74" t="s">
        <v>121</v>
      </c>
      <c r="C74" t="s">
        <v>21</v>
      </c>
      <c r="D74">
        <v>9</v>
      </c>
      <c r="E74">
        <v>10</v>
      </c>
      <c r="F74" t="s">
        <v>123</v>
      </c>
      <c r="G74" t="s">
        <v>123</v>
      </c>
      <c r="H74" t="s">
        <v>15</v>
      </c>
      <c r="I74" t="s">
        <v>16</v>
      </c>
      <c r="J74" t="s">
        <v>17</v>
      </c>
    </row>
    <row r="75" spans="1:14" x14ac:dyDescent="0.25">
      <c r="A75" s="1">
        <v>45940</v>
      </c>
      <c r="B75" t="s">
        <v>33</v>
      </c>
      <c r="C75" t="s">
        <v>34</v>
      </c>
      <c r="D75">
        <v>10</v>
      </c>
      <c r="E75">
        <v>10.75</v>
      </c>
      <c r="F75" t="s">
        <v>122</v>
      </c>
      <c r="G75" t="s">
        <v>122</v>
      </c>
      <c r="H75" t="s">
        <v>15</v>
      </c>
      <c r="I75" t="s">
        <v>16</v>
      </c>
      <c r="J75" t="s">
        <v>17</v>
      </c>
    </row>
    <row r="76" spans="1:14" x14ac:dyDescent="0.25">
      <c r="A76" s="1">
        <v>45940</v>
      </c>
      <c r="B76" t="s">
        <v>120</v>
      </c>
      <c r="C76" t="s">
        <v>24</v>
      </c>
      <c r="D76">
        <v>11</v>
      </c>
      <c r="E76">
        <v>12.5</v>
      </c>
      <c r="F76" t="s">
        <v>124</v>
      </c>
      <c r="G76" t="s">
        <v>124</v>
      </c>
      <c r="H76" t="s">
        <v>15</v>
      </c>
      <c r="I76" t="s">
        <v>16</v>
      </c>
      <c r="J76" t="s">
        <v>17</v>
      </c>
    </row>
    <row r="77" spans="1:14" x14ac:dyDescent="0.25">
      <c r="A77" s="1">
        <v>45940</v>
      </c>
      <c r="B77" t="s">
        <v>120</v>
      </c>
      <c r="C77" t="s">
        <v>24</v>
      </c>
      <c r="D77">
        <v>13</v>
      </c>
      <c r="E77">
        <v>14</v>
      </c>
      <c r="F77" t="s">
        <v>125</v>
      </c>
      <c r="G77" t="s">
        <v>125</v>
      </c>
      <c r="H77" t="s">
        <v>15</v>
      </c>
      <c r="I77" t="s">
        <v>16</v>
      </c>
      <c r="J77" t="s">
        <v>17</v>
      </c>
    </row>
    <row r="78" spans="1:14" x14ac:dyDescent="0.25">
      <c r="A78" s="1">
        <v>45940</v>
      </c>
      <c r="B78" t="s">
        <v>33</v>
      </c>
      <c r="C78" t="s">
        <v>34</v>
      </c>
      <c r="D78">
        <v>14</v>
      </c>
      <c r="E78">
        <v>15</v>
      </c>
      <c r="F78" t="s">
        <v>126</v>
      </c>
      <c r="G78" t="s">
        <v>126</v>
      </c>
      <c r="H78" t="s">
        <v>15</v>
      </c>
      <c r="I78" t="s">
        <v>16</v>
      </c>
      <c r="J78" t="s">
        <v>17</v>
      </c>
    </row>
    <row r="79" spans="1:14" x14ac:dyDescent="0.25">
      <c r="A79" s="1">
        <v>45940</v>
      </c>
      <c r="B79" t="s">
        <v>120</v>
      </c>
      <c r="C79" t="s">
        <v>24</v>
      </c>
      <c r="D79">
        <v>15</v>
      </c>
      <c r="E79">
        <v>15.5</v>
      </c>
      <c r="F79" t="s">
        <v>125</v>
      </c>
      <c r="G79" t="s">
        <v>125</v>
      </c>
      <c r="H79" t="s">
        <v>15</v>
      </c>
      <c r="I79" t="s">
        <v>16</v>
      </c>
      <c r="J79" t="s">
        <v>17</v>
      </c>
    </row>
    <row r="80" spans="1:14" x14ac:dyDescent="0.25">
      <c r="A80" s="1">
        <v>45940</v>
      </c>
      <c r="B80" t="s">
        <v>121</v>
      </c>
      <c r="C80" t="s">
        <v>21</v>
      </c>
      <c r="D80">
        <v>15.5</v>
      </c>
      <c r="E80">
        <v>17</v>
      </c>
      <c r="F80" t="s">
        <v>127</v>
      </c>
      <c r="G80" t="s">
        <v>127</v>
      </c>
      <c r="H80" t="s">
        <v>15</v>
      </c>
      <c r="I80" t="s">
        <v>16</v>
      </c>
      <c r="J80" t="s">
        <v>17</v>
      </c>
    </row>
    <row r="81" spans="1:10" x14ac:dyDescent="0.25">
      <c r="A81" s="1">
        <v>45943</v>
      </c>
      <c r="B81" t="s">
        <v>31</v>
      </c>
      <c r="C81" t="s">
        <v>32</v>
      </c>
      <c r="D81">
        <v>9</v>
      </c>
      <c r="E81">
        <v>10</v>
      </c>
      <c r="F81" t="s">
        <v>128</v>
      </c>
      <c r="G81" t="s">
        <v>128</v>
      </c>
      <c r="H81" t="s">
        <v>15</v>
      </c>
      <c r="I81" t="s">
        <v>16</v>
      </c>
      <c r="J81" t="s">
        <v>17</v>
      </c>
    </row>
    <row r="82" spans="1:10" x14ac:dyDescent="0.25">
      <c r="A82" s="1">
        <v>45943</v>
      </c>
      <c r="B82" t="s">
        <v>86</v>
      </c>
      <c r="C82" t="s">
        <v>87</v>
      </c>
      <c r="D82">
        <v>10</v>
      </c>
      <c r="E82">
        <v>11.75</v>
      </c>
      <c r="F82" t="s">
        <v>129</v>
      </c>
      <c r="G82" t="s">
        <v>129</v>
      </c>
      <c r="H82" t="s">
        <v>15</v>
      </c>
      <c r="I82" t="s">
        <v>16</v>
      </c>
      <c r="J82" t="s">
        <v>17</v>
      </c>
    </row>
    <row r="83" spans="1:10" x14ac:dyDescent="0.25">
      <c r="A83" s="1">
        <v>45943</v>
      </c>
      <c r="B83" t="s">
        <v>33</v>
      </c>
      <c r="C83" t="s">
        <v>34</v>
      </c>
      <c r="D83">
        <v>12.75</v>
      </c>
      <c r="E83">
        <v>16.25</v>
      </c>
      <c r="F83" t="s">
        <v>130</v>
      </c>
      <c r="G83" t="s">
        <v>130</v>
      </c>
      <c r="H83" t="s">
        <v>15</v>
      </c>
      <c r="I83" t="s">
        <v>16</v>
      </c>
      <c r="J83" t="s">
        <v>17</v>
      </c>
    </row>
    <row r="84" spans="1:10" x14ac:dyDescent="0.25">
      <c r="A84" s="1">
        <v>45944</v>
      </c>
      <c r="B84" t="s">
        <v>86</v>
      </c>
      <c r="C84" t="s">
        <v>87</v>
      </c>
      <c r="D84">
        <v>8</v>
      </c>
      <c r="E84">
        <v>8.5</v>
      </c>
      <c r="F84" t="s">
        <v>131</v>
      </c>
      <c r="G84" t="s">
        <v>131</v>
      </c>
      <c r="H84" t="s">
        <v>15</v>
      </c>
      <c r="I84" t="s">
        <v>16</v>
      </c>
      <c r="J84" t="s">
        <v>17</v>
      </c>
    </row>
    <row r="85" spans="1:10" x14ac:dyDescent="0.25">
      <c r="A85" s="1">
        <v>45944</v>
      </c>
      <c r="B85" t="s">
        <v>33</v>
      </c>
      <c r="C85" t="s">
        <v>34</v>
      </c>
      <c r="D85">
        <v>8.5</v>
      </c>
      <c r="E85">
        <v>9.75</v>
      </c>
      <c r="F85" t="s">
        <v>132</v>
      </c>
      <c r="G85" t="s">
        <v>132</v>
      </c>
      <c r="H85" t="s">
        <v>15</v>
      </c>
      <c r="I85" t="s">
        <v>16</v>
      </c>
      <c r="J85" t="s">
        <v>17</v>
      </c>
    </row>
    <row r="86" spans="1:10" x14ac:dyDescent="0.25">
      <c r="A86" s="1">
        <v>45944</v>
      </c>
      <c r="B86" t="s">
        <v>33</v>
      </c>
      <c r="C86" t="s">
        <v>34</v>
      </c>
      <c r="D86">
        <v>11.15</v>
      </c>
      <c r="E86">
        <v>12</v>
      </c>
      <c r="F86" t="s">
        <v>132</v>
      </c>
      <c r="G86" t="s">
        <v>132</v>
      </c>
      <c r="H86" t="s">
        <v>15</v>
      </c>
      <c r="I86" t="s">
        <v>16</v>
      </c>
      <c r="J86" t="s">
        <v>17</v>
      </c>
    </row>
    <row r="87" spans="1:10" x14ac:dyDescent="0.25">
      <c r="A87" s="1">
        <v>45944</v>
      </c>
      <c r="B87" t="s">
        <v>33</v>
      </c>
      <c r="C87" t="s">
        <v>34</v>
      </c>
      <c r="D87">
        <v>13</v>
      </c>
      <c r="E87">
        <v>14.5</v>
      </c>
      <c r="F87" t="s">
        <v>132</v>
      </c>
      <c r="G87" t="s">
        <v>132</v>
      </c>
      <c r="H87" t="s">
        <v>15</v>
      </c>
      <c r="I87" t="s">
        <v>16</v>
      </c>
      <c r="J87" t="s">
        <v>17</v>
      </c>
    </row>
    <row r="88" spans="1:10" x14ac:dyDescent="0.25">
      <c r="A88" s="1">
        <v>45944</v>
      </c>
      <c r="B88" t="s">
        <v>86</v>
      </c>
      <c r="C88" t="s">
        <v>87</v>
      </c>
      <c r="D88">
        <v>14.5</v>
      </c>
      <c r="E88">
        <v>15.5</v>
      </c>
      <c r="F88" t="s">
        <v>82</v>
      </c>
      <c r="G88" t="s">
        <v>82</v>
      </c>
      <c r="H88" t="s">
        <v>15</v>
      </c>
      <c r="I88" t="s">
        <v>16</v>
      </c>
      <c r="J88" t="s">
        <v>17</v>
      </c>
    </row>
    <row r="89" spans="1:10" x14ac:dyDescent="0.25">
      <c r="A89" s="1">
        <v>45944</v>
      </c>
      <c r="B89" t="s">
        <v>120</v>
      </c>
      <c r="C89" t="s">
        <v>24</v>
      </c>
      <c r="D89">
        <v>15.5</v>
      </c>
      <c r="E89">
        <v>16</v>
      </c>
      <c r="F89" t="s">
        <v>134</v>
      </c>
      <c r="G89" t="s">
        <v>134</v>
      </c>
      <c r="H89" t="s">
        <v>15</v>
      </c>
      <c r="I89" t="s">
        <v>16</v>
      </c>
      <c r="J89" t="s">
        <v>17</v>
      </c>
    </row>
    <row r="90" spans="1:10" x14ac:dyDescent="0.25">
      <c r="A90" s="1">
        <v>45945</v>
      </c>
      <c r="B90" t="s">
        <v>135</v>
      </c>
      <c r="C90" t="s">
        <v>136</v>
      </c>
      <c r="D90">
        <v>9</v>
      </c>
      <c r="E90">
        <v>10.5</v>
      </c>
      <c r="F90" t="s">
        <v>138</v>
      </c>
      <c r="G90" t="s">
        <v>138</v>
      </c>
      <c r="H90" t="s">
        <v>15</v>
      </c>
      <c r="I90" t="s">
        <v>16</v>
      </c>
      <c r="J90" t="s">
        <v>17</v>
      </c>
    </row>
    <row r="91" spans="1:10" x14ac:dyDescent="0.25">
      <c r="A91" s="1">
        <v>45945</v>
      </c>
      <c r="B91" t="s">
        <v>33</v>
      </c>
      <c r="C91" t="s">
        <v>34</v>
      </c>
      <c r="D91">
        <v>11</v>
      </c>
      <c r="E91">
        <v>12.25</v>
      </c>
      <c r="F91" t="s">
        <v>140</v>
      </c>
      <c r="G91" t="s">
        <v>140</v>
      </c>
      <c r="H91" t="s">
        <v>15</v>
      </c>
      <c r="I91" t="s">
        <v>16</v>
      </c>
      <c r="J91" t="s">
        <v>17</v>
      </c>
    </row>
    <row r="92" spans="1:10" x14ac:dyDescent="0.25">
      <c r="A92" s="1">
        <v>45945</v>
      </c>
      <c r="B92" t="s">
        <v>31</v>
      </c>
      <c r="C92" t="s">
        <v>32</v>
      </c>
      <c r="D92">
        <v>13</v>
      </c>
      <c r="E92">
        <v>13.5</v>
      </c>
      <c r="F92" t="s">
        <v>57</v>
      </c>
      <c r="G92" t="s">
        <v>57</v>
      </c>
      <c r="H92" t="s">
        <v>15</v>
      </c>
      <c r="I92" t="s">
        <v>16</v>
      </c>
      <c r="J92" t="s">
        <v>17</v>
      </c>
    </row>
    <row r="93" spans="1:10" x14ac:dyDescent="0.25">
      <c r="A93" s="1">
        <v>45945</v>
      </c>
      <c r="B93" t="s">
        <v>37</v>
      </c>
      <c r="C93" t="s">
        <v>38</v>
      </c>
      <c r="D93">
        <v>13.5</v>
      </c>
      <c r="E93">
        <v>14</v>
      </c>
      <c r="F93" t="s">
        <v>82</v>
      </c>
      <c r="G93" t="s">
        <v>82</v>
      </c>
      <c r="H93" t="s">
        <v>15</v>
      </c>
      <c r="I93" t="s">
        <v>16</v>
      </c>
      <c r="J93" t="s">
        <v>17</v>
      </c>
    </row>
    <row r="94" spans="1:10" x14ac:dyDescent="0.25">
      <c r="A94" s="1">
        <v>45945</v>
      </c>
      <c r="B94" t="s">
        <v>37</v>
      </c>
      <c r="C94" t="s">
        <v>38</v>
      </c>
      <c r="D94">
        <v>15.25</v>
      </c>
      <c r="E94">
        <v>16.25</v>
      </c>
      <c r="F94" t="s">
        <v>142</v>
      </c>
      <c r="G94" t="s">
        <v>142</v>
      </c>
      <c r="H94" t="s">
        <v>15</v>
      </c>
      <c r="I94" t="s">
        <v>16</v>
      </c>
      <c r="J94" t="s">
        <v>17</v>
      </c>
    </row>
    <row r="95" spans="1:10" x14ac:dyDescent="0.25">
      <c r="A95" s="1">
        <v>45945</v>
      </c>
      <c r="B95" t="s">
        <v>18</v>
      </c>
      <c r="C95" t="s">
        <v>11</v>
      </c>
      <c r="D95">
        <v>16.25</v>
      </c>
      <c r="E95">
        <v>16.5</v>
      </c>
      <c r="F95" t="s">
        <v>56</v>
      </c>
      <c r="G95" t="s">
        <v>56</v>
      </c>
      <c r="H95" t="s">
        <v>15</v>
      </c>
      <c r="I95" t="s">
        <v>16</v>
      </c>
      <c r="J95" t="s">
        <v>17</v>
      </c>
    </row>
    <row r="96" spans="1:10" x14ac:dyDescent="0.25">
      <c r="A96" s="1">
        <v>45945</v>
      </c>
      <c r="B96" t="s">
        <v>37</v>
      </c>
      <c r="C96" t="s">
        <v>38</v>
      </c>
      <c r="D96">
        <v>16.5</v>
      </c>
      <c r="E96">
        <v>17</v>
      </c>
      <c r="F96" t="s">
        <v>142</v>
      </c>
      <c r="G96" t="s">
        <v>142</v>
      </c>
      <c r="H96" t="s">
        <v>15</v>
      </c>
      <c r="I96" t="s">
        <v>16</v>
      </c>
      <c r="J96" t="s">
        <v>17</v>
      </c>
    </row>
    <row r="97" spans="1:10" x14ac:dyDescent="0.25">
      <c r="A97" s="1">
        <v>45946</v>
      </c>
      <c r="B97" t="s">
        <v>120</v>
      </c>
      <c r="C97" t="s">
        <v>24</v>
      </c>
      <c r="D97">
        <v>17</v>
      </c>
      <c r="E97">
        <v>17.5</v>
      </c>
      <c r="F97" t="s">
        <v>143</v>
      </c>
      <c r="G97" t="s">
        <v>143</v>
      </c>
      <c r="H97" t="s">
        <v>15</v>
      </c>
      <c r="I97" t="s">
        <v>16</v>
      </c>
      <c r="J97" t="s">
        <v>17</v>
      </c>
    </row>
    <row r="98" spans="1:10" x14ac:dyDescent="0.25">
      <c r="A98" s="1">
        <v>45946</v>
      </c>
      <c r="B98" t="s">
        <v>86</v>
      </c>
      <c r="C98" t="s">
        <v>87</v>
      </c>
      <c r="D98">
        <v>14.75</v>
      </c>
      <c r="E98">
        <v>15.25</v>
      </c>
      <c r="F98" t="s">
        <v>141</v>
      </c>
      <c r="G98" t="s">
        <v>141</v>
      </c>
      <c r="H98" t="s">
        <v>15</v>
      </c>
      <c r="I98" t="s">
        <v>16</v>
      </c>
      <c r="J98" t="s">
        <v>17</v>
      </c>
    </row>
    <row r="99" spans="1:10" x14ac:dyDescent="0.25">
      <c r="A99" s="1">
        <v>45946</v>
      </c>
      <c r="B99" t="s">
        <v>37</v>
      </c>
      <c r="C99" t="s">
        <v>38</v>
      </c>
      <c r="D99">
        <v>9</v>
      </c>
      <c r="E99">
        <v>10</v>
      </c>
      <c r="F99" t="s">
        <v>142</v>
      </c>
      <c r="G99" t="s">
        <v>142</v>
      </c>
      <c r="H99" t="s">
        <v>15</v>
      </c>
      <c r="I99" t="s">
        <v>16</v>
      </c>
      <c r="J99" t="s">
        <v>17</v>
      </c>
    </row>
    <row r="100" spans="1:10" x14ac:dyDescent="0.25">
      <c r="A100" s="1">
        <v>45946</v>
      </c>
      <c r="B100" t="s">
        <v>33</v>
      </c>
      <c r="C100" t="s">
        <v>34</v>
      </c>
      <c r="D100">
        <v>10</v>
      </c>
      <c r="E100">
        <v>11</v>
      </c>
      <c r="F100" t="s">
        <v>144</v>
      </c>
      <c r="G100" t="s">
        <v>144</v>
      </c>
      <c r="H100" t="s">
        <v>15</v>
      </c>
      <c r="I100" t="s">
        <v>16</v>
      </c>
      <c r="J100" t="s">
        <v>17</v>
      </c>
    </row>
    <row r="101" spans="1:10" x14ac:dyDescent="0.25">
      <c r="A101" s="1">
        <v>45946</v>
      </c>
      <c r="D101">
        <v>11.5</v>
      </c>
      <c r="E101">
        <v>12</v>
      </c>
      <c r="F101" t="s">
        <v>145</v>
      </c>
      <c r="G101" t="s">
        <v>145</v>
      </c>
      <c r="H101" t="s">
        <v>15</v>
      </c>
      <c r="I101" t="s">
        <v>28</v>
      </c>
      <c r="J101" t="s">
        <v>17</v>
      </c>
    </row>
    <row r="102" spans="1:10" x14ac:dyDescent="0.25">
      <c r="A102" s="1">
        <v>45946</v>
      </c>
      <c r="D102">
        <v>12</v>
      </c>
      <c r="E102">
        <v>13</v>
      </c>
      <c r="F102" t="s">
        <v>146</v>
      </c>
      <c r="G102" t="s">
        <v>146</v>
      </c>
      <c r="H102" t="s">
        <v>15</v>
      </c>
      <c r="I102" t="s">
        <v>46</v>
      </c>
      <c r="J102" t="s">
        <v>17</v>
      </c>
    </row>
    <row r="103" spans="1:10" x14ac:dyDescent="0.25">
      <c r="A103" s="1">
        <v>45946</v>
      </c>
      <c r="B103" t="s">
        <v>31</v>
      </c>
      <c r="C103" t="s">
        <v>32</v>
      </c>
      <c r="D103">
        <v>13</v>
      </c>
      <c r="E103">
        <v>13.5</v>
      </c>
      <c r="F103" t="s">
        <v>147</v>
      </c>
      <c r="G103" t="s">
        <v>147</v>
      </c>
      <c r="H103" t="s">
        <v>15</v>
      </c>
      <c r="I103" t="s">
        <v>16</v>
      </c>
      <c r="J103" t="s">
        <v>17</v>
      </c>
    </row>
    <row r="104" spans="1:10" x14ac:dyDescent="0.25">
      <c r="A104" s="1">
        <v>45946</v>
      </c>
      <c r="B104" t="s">
        <v>37</v>
      </c>
      <c r="C104" t="s">
        <v>38</v>
      </c>
      <c r="D104">
        <v>14.5</v>
      </c>
      <c r="E104">
        <v>15</v>
      </c>
      <c r="F104" t="s">
        <v>142</v>
      </c>
      <c r="G104" t="s">
        <v>142</v>
      </c>
      <c r="H104" t="s">
        <v>15</v>
      </c>
      <c r="I104" t="s">
        <v>16</v>
      </c>
      <c r="J104" t="s">
        <v>17</v>
      </c>
    </row>
    <row r="105" spans="1:10" x14ac:dyDescent="0.25">
      <c r="A105" s="1">
        <v>45946</v>
      </c>
      <c r="B105" t="s">
        <v>96</v>
      </c>
      <c r="C105" t="s">
        <v>97</v>
      </c>
      <c r="D105">
        <v>15</v>
      </c>
      <c r="E105">
        <v>15.75</v>
      </c>
      <c r="F105" t="s">
        <v>148</v>
      </c>
      <c r="G105" t="s">
        <v>148</v>
      </c>
      <c r="H105" t="s">
        <v>15</v>
      </c>
      <c r="I105" t="s">
        <v>16</v>
      </c>
      <c r="J105" t="s">
        <v>17</v>
      </c>
    </row>
    <row r="106" spans="1:10" x14ac:dyDescent="0.25">
      <c r="A106" s="1">
        <v>45946</v>
      </c>
      <c r="B106" t="s">
        <v>37</v>
      </c>
      <c r="C106" t="s">
        <v>38</v>
      </c>
      <c r="D106">
        <v>15.75</v>
      </c>
      <c r="E106">
        <v>16</v>
      </c>
      <c r="F106" t="s">
        <v>142</v>
      </c>
      <c r="G106" t="s">
        <v>142</v>
      </c>
      <c r="H106" t="s">
        <v>15</v>
      </c>
      <c r="I106" t="s">
        <v>16</v>
      </c>
      <c r="J106" t="s">
        <v>17</v>
      </c>
    </row>
    <row r="107" spans="1:10" x14ac:dyDescent="0.25">
      <c r="A107" s="1">
        <v>45947</v>
      </c>
      <c r="B107" t="s">
        <v>39</v>
      </c>
      <c r="C107" t="s">
        <v>40</v>
      </c>
      <c r="D107">
        <v>9</v>
      </c>
      <c r="E107">
        <v>10.75</v>
      </c>
      <c r="F107" t="s">
        <v>149</v>
      </c>
      <c r="G107" t="s">
        <v>149</v>
      </c>
      <c r="H107" t="s">
        <v>15</v>
      </c>
      <c r="I107" t="s">
        <v>16</v>
      </c>
      <c r="J107" t="s">
        <v>17</v>
      </c>
    </row>
    <row r="108" spans="1:10" x14ac:dyDescent="0.25">
      <c r="A108" s="1">
        <v>45947</v>
      </c>
      <c r="B108" t="s">
        <v>12</v>
      </c>
      <c r="C108" t="s">
        <v>13</v>
      </c>
      <c r="D108">
        <v>11</v>
      </c>
      <c r="E108">
        <v>11.5</v>
      </c>
      <c r="F108" t="s">
        <v>150</v>
      </c>
      <c r="G108" t="s">
        <v>150</v>
      </c>
      <c r="H108" t="s">
        <v>15</v>
      </c>
      <c r="I108" t="s">
        <v>16</v>
      </c>
      <c r="J108" t="s">
        <v>17</v>
      </c>
    </row>
    <row r="109" spans="1:10" x14ac:dyDescent="0.25">
      <c r="A109" s="1">
        <v>45947</v>
      </c>
      <c r="B109" t="s">
        <v>152</v>
      </c>
      <c r="C109" t="s">
        <v>151</v>
      </c>
      <c r="D109">
        <v>13</v>
      </c>
      <c r="E109">
        <v>13.25</v>
      </c>
      <c r="F109" t="s">
        <v>88</v>
      </c>
      <c r="G109" t="s">
        <v>88</v>
      </c>
      <c r="H109" t="s">
        <v>15</v>
      </c>
      <c r="I109" t="s">
        <v>16</v>
      </c>
      <c r="J109" t="s">
        <v>17</v>
      </c>
    </row>
    <row r="110" spans="1:10" x14ac:dyDescent="0.25">
      <c r="A110" s="1">
        <v>45947</v>
      </c>
      <c r="B110" t="s">
        <v>37</v>
      </c>
      <c r="C110" t="s">
        <v>38</v>
      </c>
      <c r="D110">
        <v>13.5</v>
      </c>
      <c r="E110">
        <v>14.75</v>
      </c>
      <c r="F110" t="s">
        <v>153</v>
      </c>
      <c r="G110" t="s">
        <v>153</v>
      </c>
      <c r="H110" t="s">
        <v>15</v>
      </c>
      <c r="I110" t="s">
        <v>16</v>
      </c>
      <c r="J110" t="s">
        <v>17</v>
      </c>
    </row>
    <row r="111" spans="1:10" x14ac:dyDescent="0.25">
      <c r="A111" s="1">
        <v>45947</v>
      </c>
      <c r="B111" t="s">
        <v>33</v>
      </c>
      <c r="C111" t="s">
        <v>34</v>
      </c>
      <c r="D111">
        <v>15</v>
      </c>
      <c r="E111">
        <v>15.5</v>
      </c>
      <c r="F111" t="s">
        <v>139</v>
      </c>
      <c r="G111" t="s">
        <v>139</v>
      </c>
      <c r="H111" t="s">
        <v>15</v>
      </c>
      <c r="I111" t="s">
        <v>16</v>
      </c>
      <c r="J111" t="s">
        <v>17</v>
      </c>
    </row>
    <row r="112" spans="1:10" x14ac:dyDescent="0.25">
      <c r="A112" s="1">
        <v>45947</v>
      </c>
      <c r="D112">
        <v>16</v>
      </c>
      <c r="E112">
        <v>16.5</v>
      </c>
      <c r="F112" t="s">
        <v>154</v>
      </c>
      <c r="G112" t="s">
        <v>154</v>
      </c>
      <c r="I112" t="s">
        <v>28</v>
      </c>
      <c r="J112" t="s">
        <v>17</v>
      </c>
    </row>
    <row r="113" spans="1:10" x14ac:dyDescent="0.25">
      <c r="A113" s="1">
        <v>45950</v>
      </c>
      <c r="B113" t="s">
        <v>37</v>
      </c>
      <c r="C113" t="s">
        <v>38</v>
      </c>
      <c r="D113">
        <v>10</v>
      </c>
      <c r="E113">
        <v>11.5</v>
      </c>
      <c r="F113" t="s">
        <v>155</v>
      </c>
      <c r="G113" t="s">
        <v>155</v>
      </c>
      <c r="H113" t="s">
        <v>15</v>
      </c>
      <c r="I113" t="s">
        <v>16</v>
      </c>
      <c r="J113" t="s">
        <v>17</v>
      </c>
    </row>
    <row r="114" spans="1:10" x14ac:dyDescent="0.25">
      <c r="A114" s="1">
        <v>45950</v>
      </c>
      <c r="B114" t="s">
        <v>39</v>
      </c>
      <c r="C114" t="s">
        <v>40</v>
      </c>
      <c r="D114">
        <v>11.5</v>
      </c>
      <c r="E114">
        <v>13</v>
      </c>
      <c r="F114" t="s">
        <v>142</v>
      </c>
      <c r="G114" t="s">
        <v>142</v>
      </c>
      <c r="H114" t="s">
        <v>15</v>
      </c>
      <c r="I114" t="s">
        <v>16</v>
      </c>
      <c r="J114" t="s">
        <v>17</v>
      </c>
    </row>
    <row r="115" spans="1:10" x14ac:dyDescent="0.25">
      <c r="A115" s="1">
        <v>45950</v>
      </c>
      <c r="B115" t="s">
        <v>39</v>
      </c>
      <c r="C115" t="s">
        <v>40</v>
      </c>
      <c r="D115">
        <v>13.75</v>
      </c>
      <c r="E115">
        <v>14.5</v>
      </c>
      <c r="F115" t="s">
        <v>142</v>
      </c>
      <c r="G115" t="s">
        <v>142</v>
      </c>
      <c r="H115" t="s">
        <v>15</v>
      </c>
      <c r="I115" t="s">
        <v>16</v>
      </c>
      <c r="J115" t="s">
        <v>17</v>
      </c>
    </row>
    <row r="116" spans="1:10" x14ac:dyDescent="0.25">
      <c r="A116" s="1">
        <v>45950</v>
      </c>
      <c r="B116" t="s">
        <v>120</v>
      </c>
      <c r="C116" t="s">
        <v>24</v>
      </c>
      <c r="D116">
        <v>15</v>
      </c>
      <c r="E116">
        <v>16.25</v>
      </c>
      <c r="F116" t="s">
        <v>156</v>
      </c>
      <c r="G116" t="s">
        <v>156</v>
      </c>
      <c r="H116" t="s">
        <v>15</v>
      </c>
      <c r="I116" t="s">
        <v>16</v>
      </c>
      <c r="J116" t="s">
        <v>17</v>
      </c>
    </row>
    <row r="117" spans="1:10" x14ac:dyDescent="0.25">
      <c r="A117" s="1">
        <v>45950</v>
      </c>
      <c r="B117" t="s">
        <v>37</v>
      </c>
      <c r="C117" t="s">
        <v>38</v>
      </c>
      <c r="D117">
        <v>16.25</v>
      </c>
      <c r="E117">
        <v>16.5</v>
      </c>
      <c r="F117" t="s">
        <v>157</v>
      </c>
      <c r="G117" t="s">
        <v>157</v>
      </c>
      <c r="H117" t="s">
        <v>15</v>
      </c>
      <c r="I117" t="s">
        <v>16</v>
      </c>
      <c r="J117" t="s">
        <v>17</v>
      </c>
    </row>
    <row r="118" spans="1:10" x14ac:dyDescent="0.25">
      <c r="A118" s="1">
        <v>45951</v>
      </c>
      <c r="B118" t="s">
        <v>28</v>
      </c>
      <c r="C118" t="s">
        <v>28</v>
      </c>
      <c r="D118">
        <v>9.75</v>
      </c>
      <c r="E118">
        <v>11.5</v>
      </c>
      <c r="F118" t="s">
        <v>158</v>
      </c>
      <c r="G118" t="s">
        <v>159</v>
      </c>
      <c r="H118" t="s">
        <v>15</v>
      </c>
      <c r="I118" t="s">
        <v>28</v>
      </c>
      <c r="J118" t="s">
        <v>17</v>
      </c>
    </row>
    <row r="119" spans="1:10" x14ac:dyDescent="0.25">
      <c r="A119" s="1">
        <v>45951</v>
      </c>
      <c r="B119" t="s">
        <v>96</v>
      </c>
      <c r="C119" t="s">
        <v>97</v>
      </c>
      <c r="D119">
        <v>11.5</v>
      </c>
      <c r="E119">
        <v>12</v>
      </c>
      <c r="F119" t="s">
        <v>160</v>
      </c>
      <c r="G119" t="s">
        <v>160</v>
      </c>
      <c r="H119" t="s">
        <v>15</v>
      </c>
      <c r="I119" t="s">
        <v>16</v>
      </c>
      <c r="J119" t="s">
        <v>17</v>
      </c>
    </row>
    <row r="120" spans="1:10" x14ac:dyDescent="0.25">
      <c r="A120" s="1">
        <v>45951</v>
      </c>
      <c r="B120" t="s">
        <v>152</v>
      </c>
      <c r="C120" t="s">
        <v>151</v>
      </c>
      <c r="D120">
        <v>13.5</v>
      </c>
      <c r="E120">
        <v>14</v>
      </c>
      <c r="F120" t="s">
        <v>42</v>
      </c>
      <c r="G120" t="s">
        <v>42</v>
      </c>
      <c r="H120" t="s">
        <v>15</v>
      </c>
      <c r="I120" t="s">
        <v>16</v>
      </c>
      <c r="J120" t="s">
        <v>17</v>
      </c>
    </row>
    <row r="121" spans="1:10" x14ac:dyDescent="0.25">
      <c r="A121" s="1">
        <v>45951</v>
      </c>
      <c r="B121" t="s">
        <v>12</v>
      </c>
      <c r="C121" t="s">
        <v>13</v>
      </c>
      <c r="D121">
        <v>14</v>
      </c>
      <c r="E121">
        <v>17</v>
      </c>
      <c r="F121" t="s">
        <v>161</v>
      </c>
      <c r="G121" t="s">
        <v>161</v>
      </c>
      <c r="H121" t="s">
        <v>15</v>
      </c>
      <c r="I121" t="s">
        <v>16</v>
      </c>
      <c r="J121" t="s">
        <v>17</v>
      </c>
    </row>
    <row r="122" spans="1:10" x14ac:dyDescent="0.25">
      <c r="A122" s="1">
        <v>45952</v>
      </c>
      <c r="B122" t="s">
        <v>152</v>
      </c>
      <c r="C122" t="s">
        <v>151</v>
      </c>
      <c r="D122">
        <v>8</v>
      </c>
      <c r="E122">
        <v>8.5</v>
      </c>
      <c r="F122" t="s">
        <v>162</v>
      </c>
      <c r="G122" t="s">
        <v>162</v>
      </c>
      <c r="H122" t="s">
        <v>15</v>
      </c>
      <c r="I122" t="s">
        <v>16</v>
      </c>
      <c r="J122" t="s">
        <v>17</v>
      </c>
    </row>
    <row r="123" spans="1:10" x14ac:dyDescent="0.25">
      <c r="A123" s="1">
        <v>45952</v>
      </c>
      <c r="B123" t="s">
        <v>12</v>
      </c>
      <c r="C123" t="s">
        <v>13</v>
      </c>
      <c r="D123">
        <v>8.5</v>
      </c>
      <c r="E123">
        <v>10</v>
      </c>
      <c r="F123" t="s">
        <v>161</v>
      </c>
      <c r="G123" t="s">
        <v>161</v>
      </c>
      <c r="H123" t="s">
        <v>15</v>
      </c>
      <c r="I123" t="s">
        <v>16</v>
      </c>
      <c r="J123" t="s">
        <v>17</v>
      </c>
    </row>
    <row r="124" spans="1:10" x14ac:dyDescent="0.25">
      <c r="A124" s="1">
        <v>45952</v>
      </c>
      <c r="B124" t="s">
        <v>96</v>
      </c>
      <c r="C124" t="s">
        <v>97</v>
      </c>
      <c r="D124">
        <v>10</v>
      </c>
      <c r="E124">
        <v>10.25</v>
      </c>
      <c r="F124" t="s">
        <v>163</v>
      </c>
      <c r="G124" t="s">
        <v>163</v>
      </c>
      <c r="H124" t="s">
        <v>15</v>
      </c>
      <c r="I124" t="s">
        <v>16</v>
      </c>
      <c r="J124" t="s">
        <v>17</v>
      </c>
    </row>
    <row r="125" spans="1:10" x14ac:dyDescent="0.25">
      <c r="A125" s="1">
        <v>45952</v>
      </c>
      <c r="B125" t="s">
        <v>37</v>
      </c>
      <c r="C125" t="s">
        <v>38</v>
      </c>
      <c r="D125">
        <v>10.5</v>
      </c>
      <c r="E125">
        <v>11.5</v>
      </c>
      <c r="F125" t="s">
        <v>56</v>
      </c>
      <c r="G125" t="s">
        <v>56</v>
      </c>
      <c r="H125" t="s">
        <v>15</v>
      </c>
      <c r="I125" t="s">
        <v>16</v>
      </c>
      <c r="J125" t="s">
        <v>17</v>
      </c>
    </row>
    <row r="126" spans="1:10" x14ac:dyDescent="0.25">
      <c r="A126" s="1">
        <v>45952</v>
      </c>
      <c r="B126" t="s">
        <v>33</v>
      </c>
      <c r="C126" t="s">
        <v>34</v>
      </c>
      <c r="D126">
        <v>12</v>
      </c>
      <c r="E126">
        <v>12.25</v>
      </c>
      <c r="F126" t="s">
        <v>56</v>
      </c>
      <c r="G126" t="s">
        <v>56</v>
      </c>
      <c r="H126" t="s">
        <v>15</v>
      </c>
      <c r="I126" t="s">
        <v>16</v>
      </c>
      <c r="J126" t="s">
        <v>17</v>
      </c>
    </row>
    <row r="127" spans="1:10" x14ac:dyDescent="0.25">
      <c r="A127" s="1">
        <v>45952</v>
      </c>
      <c r="B127" t="s">
        <v>12</v>
      </c>
      <c r="C127" t="s">
        <v>13</v>
      </c>
      <c r="D127">
        <v>11.5</v>
      </c>
      <c r="E127">
        <v>11.75</v>
      </c>
      <c r="F127" t="s">
        <v>164</v>
      </c>
      <c r="G127" t="s">
        <v>164</v>
      </c>
      <c r="H127" t="s">
        <v>15</v>
      </c>
      <c r="I127" t="s">
        <v>16</v>
      </c>
      <c r="J127" t="s">
        <v>17</v>
      </c>
    </row>
    <row r="128" spans="1:10" x14ac:dyDescent="0.25">
      <c r="A128" s="1">
        <v>45952</v>
      </c>
      <c r="B128" t="s">
        <v>96</v>
      </c>
      <c r="C128" t="s">
        <v>97</v>
      </c>
      <c r="D128">
        <v>14.5</v>
      </c>
      <c r="E128">
        <v>15</v>
      </c>
      <c r="F128" t="s">
        <v>165</v>
      </c>
      <c r="G128" t="s">
        <v>165</v>
      </c>
      <c r="H128" t="s">
        <v>15</v>
      </c>
      <c r="I128" t="s">
        <v>16</v>
      </c>
      <c r="J128" t="s">
        <v>17</v>
      </c>
    </row>
    <row r="129" spans="1:10" x14ac:dyDescent="0.25">
      <c r="A129" s="1">
        <v>45952</v>
      </c>
      <c r="B129" t="s">
        <v>135</v>
      </c>
      <c r="C129" t="s">
        <v>136</v>
      </c>
      <c r="D129">
        <v>15.5</v>
      </c>
      <c r="E129">
        <v>16</v>
      </c>
      <c r="F129" t="s">
        <v>166</v>
      </c>
      <c r="G129" t="s">
        <v>166</v>
      </c>
      <c r="H129" t="s">
        <v>15</v>
      </c>
      <c r="I129" t="s">
        <v>16</v>
      </c>
      <c r="J129" t="s">
        <v>17</v>
      </c>
    </row>
    <row r="130" spans="1:10" x14ac:dyDescent="0.25">
      <c r="A130" s="1">
        <v>45952</v>
      </c>
      <c r="B130" t="s">
        <v>31</v>
      </c>
      <c r="C130" t="s">
        <v>32</v>
      </c>
      <c r="D130">
        <v>16</v>
      </c>
      <c r="E130">
        <v>16.5</v>
      </c>
      <c r="F130" t="s">
        <v>167</v>
      </c>
      <c r="G130" t="s">
        <v>167</v>
      </c>
      <c r="H130" t="s">
        <v>15</v>
      </c>
      <c r="I130" t="s">
        <v>16</v>
      </c>
      <c r="J130" t="s">
        <v>17</v>
      </c>
    </row>
    <row r="131" spans="1:10" x14ac:dyDescent="0.25">
      <c r="A131" s="1">
        <v>45952</v>
      </c>
      <c r="B131" t="s">
        <v>33</v>
      </c>
      <c r="C131" t="s">
        <v>34</v>
      </c>
      <c r="D131">
        <v>16.5</v>
      </c>
      <c r="E131">
        <v>16.75</v>
      </c>
      <c r="F131" t="s">
        <v>168</v>
      </c>
      <c r="G131" t="s">
        <v>168</v>
      </c>
      <c r="H131" t="s">
        <v>15</v>
      </c>
      <c r="I131" t="s">
        <v>16</v>
      </c>
      <c r="J131" t="s">
        <v>17</v>
      </c>
    </row>
    <row r="132" spans="1:10" x14ac:dyDescent="0.25">
      <c r="A132" s="1">
        <v>45952</v>
      </c>
      <c r="B132" t="s">
        <v>120</v>
      </c>
      <c r="C132" t="s">
        <v>24</v>
      </c>
      <c r="D132">
        <v>16.75</v>
      </c>
      <c r="E132">
        <v>17</v>
      </c>
      <c r="F132" t="s">
        <v>169</v>
      </c>
      <c r="G132" t="s">
        <v>169</v>
      </c>
      <c r="H132" t="s">
        <v>15</v>
      </c>
      <c r="I132" t="s">
        <v>16</v>
      </c>
      <c r="J132" t="s">
        <v>17</v>
      </c>
    </row>
    <row r="133" spans="1:10" x14ac:dyDescent="0.25">
      <c r="A133" s="1">
        <v>45953</v>
      </c>
      <c r="B133" t="s">
        <v>120</v>
      </c>
      <c r="C133" t="s">
        <v>24</v>
      </c>
      <c r="D133">
        <v>8.5</v>
      </c>
      <c r="E133">
        <v>8.75</v>
      </c>
      <c r="F133" t="s">
        <v>170</v>
      </c>
      <c r="G133" t="s">
        <v>170</v>
      </c>
      <c r="H133" t="s">
        <v>15</v>
      </c>
      <c r="I133" t="s">
        <v>16</v>
      </c>
      <c r="J133" t="s">
        <v>17</v>
      </c>
    </row>
    <row r="134" spans="1:10" x14ac:dyDescent="0.25">
      <c r="A134" s="1">
        <v>45953</v>
      </c>
      <c r="B134" t="s">
        <v>86</v>
      </c>
      <c r="C134" t="s">
        <v>87</v>
      </c>
      <c r="D134">
        <v>8.75</v>
      </c>
      <c r="E134">
        <v>9.25</v>
      </c>
      <c r="F134" t="s">
        <v>171</v>
      </c>
      <c r="G134" t="s">
        <v>171</v>
      </c>
      <c r="H134" t="s">
        <v>15</v>
      </c>
      <c r="I134" t="s">
        <v>16</v>
      </c>
      <c r="J134" t="s">
        <v>17</v>
      </c>
    </row>
    <row r="135" spans="1:10" x14ac:dyDescent="0.25">
      <c r="A135" s="1">
        <v>45953</v>
      </c>
      <c r="B135" t="s">
        <v>152</v>
      </c>
      <c r="C135" t="s">
        <v>151</v>
      </c>
      <c r="D135">
        <v>9.25</v>
      </c>
      <c r="E135">
        <v>9.75</v>
      </c>
      <c r="F135" t="s">
        <v>172</v>
      </c>
      <c r="G135" t="s">
        <v>172</v>
      </c>
      <c r="H135" t="s">
        <v>15</v>
      </c>
      <c r="I135" t="s">
        <v>16</v>
      </c>
      <c r="J135" t="s">
        <v>17</v>
      </c>
    </row>
    <row r="136" spans="1:10" x14ac:dyDescent="0.25">
      <c r="A136" s="1">
        <v>45953</v>
      </c>
      <c r="B136" t="s">
        <v>33</v>
      </c>
      <c r="C136" t="s">
        <v>34</v>
      </c>
      <c r="D136">
        <v>10</v>
      </c>
      <c r="E136">
        <v>12</v>
      </c>
      <c r="F136" t="s">
        <v>173</v>
      </c>
      <c r="G136" t="s">
        <v>173</v>
      </c>
      <c r="H136" t="s">
        <v>15</v>
      </c>
      <c r="I136" t="s">
        <v>16</v>
      </c>
      <c r="J136" t="s">
        <v>17</v>
      </c>
    </row>
    <row r="137" spans="1:10" x14ac:dyDescent="0.25">
      <c r="A137" s="1">
        <v>45953</v>
      </c>
      <c r="B137" t="s">
        <v>26</v>
      </c>
      <c r="C137" t="s">
        <v>26</v>
      </c>
      <c r="D137">
        <v>12</v>
      </c>
      <c r="E137">
        <v>13.5</v>
      </c>
      <c r="F137" t="s">
        <v>174</v>
      </c>
      <c r="G137" t="s">
        <v>174</v>
      </c>
      <c r="H137" t="s">
        <v>15</v>
      </c>
      <c r="I137" t="s">
        <v>46</v>
      </c>
      <c r="J137" t="s">
        <v>17</v>
      </c>
    </row>
    <row r="138" spans="1:10" x14ac:dyDescent="0.25">
      <c r="A138" s="1">
        <v>45953</v>
      </c>
      <c r="B138" t="s">
        <v>39</v>
      </c>
      <c r="C138" t="s">
        <v>40</v>
      </c>
      <c r="D138">
        <v>14</v>
      </c>
      <c r="E138">
        <v>14.25</v>
      </c>
      <c r="F138" t="s">
        <v>56</v>
      </c>
      <c r="G138" t="s">
        <v>56</v>
      </c>
      <c r="H138" t="s">
        <v>15</v>
      </c>
      <c r="I138" t="s">
        <v>16</v>
      </c>
      <c r="J138" t="s">
        <v>17</v>
      </c>
    </row>
    <row r="139" spans="1:10" x14ac:dyDescent="0.25">
      <c r="A139" s="1">
        <v>45953</v>
      </c>
      <c r="B139" t="s">
        <v>86</v>
      </c>
      <c r="C139" t="s">
        <v>87</v>
      </c>
      <c r="D139">
        <v>14.5</v>
      </c>
      <c r="E139">
        <v>17</v>
      </c>
      <c r="F139" t="s">
        <v>175</v>
      </c>
      <c r="G139" t="s">
        <v>175</v>
      </c>
      <c r="H139" t="s">
        <v>15</v>
      </c>
      <c r="I139" t="s">
        <v>16</v>
      </c>
      <c r="J139" t="s">
        <v>17</v>
      </c>
    </row>
    <row r="140" spans="1:10" x14ac:dyDescent="0.25">
      <c r="A140" s="1">
        <v>45954</v>
      </c>
      <c r="B140" t="s">
        <v>120</v>
      </c>
      <c r="C140" t="s">
        <v>24</v>
      </c>
      <c r="D140">
        <v>9.75</v>
      </c>
      <c r="E140">
        <v>10</v>
      </c>
      <c r="F140" t="s">
        <v>176</v>
      </c>
      <c r="G140" t="s">
        <v>176</v>
      </c>
      <c r="H140" t="s">
        <v>15</v>
      </c>
      <c r="I140" t="s">
        <v>16</v>
      </c>
      <c r="J140" t="s">
        <v>17</v>
      </c>
    </row>
    <row r="141" spans="1:10" x14ac:dyDescent="0.25">
      <c r="A141" s="1">
        <v>45954</v>
      </c>
      <c r="B141" t="s">
        <v>31</v>
      </c>
      <c r="C141" t="s">
        <v>32</v>
      </c>
      <c r="D141">
        <v>10</v>
      </c>
      <c r="E141">
        <v>11</v>
      </c>
      <c r="F141" t="s">
        <v>177</v>
      </c>
      <c r="G141" t="s">
        <v>177</v>
      </c>
      <c r="H141" t="s">
        <v>15</v>
      </c>
      <c r="I141" t="s">
        <v>16</v>
      </c>
      <c r="J141" t="s">
        <v>17</v>
      </c>
    </row>
    <row r="142" spans="1:10" x14ac:dyDescent="0.25">
      <c r="A142" s="1">
        <v>45954</v>
      </c>
      <c r="B142" t="s">
        <v>12</v>
      </c>
      <c r="C142" t="s">
        <v>13</v>
      </c>
      <c r="D142">
        <v>11</v>
      </c>
      <c r="E142">
        <v>11.5</v>
      </c>
      <c r="F142" t="s">
        <v>178</v>
      </c>
      <c r="G142" t="s">
        <v>178</v>
      </c>
      <c r="H142" t="s">
        <v>15</v>
      </c>
      <c r="I142" t="s">
        <v>16</v>
      </c>
      <c r="J142" t="s">
        <v>17</v>
      </c>
    </row>
    <row r="143" spans="1:10" x14ac:dyDescent="0.25">
      <c r="A143" s="1">
        <v>45954</v>
      </c>
      <c r="B143" t="s">
        <v>33</v>
      </c>
      <c r="C143" t="s">
        <v>34</v>
      </c>
      <c r="D143">
        <v>11.5</v>
      </c>
      <c r="E143">
        <v>12</v>
      </c>
      <c r="F143" t="s">
        <v>179</v>
      </c>
      <c r="G143" t="s">
        <v>179</v>
      </c>
      <c r="H143" t="s">
        <v>15</v>
      </c>
      <c r="I143" t="s">
        <v>16</v>
      </c>
      <c r="J143" t="s">
        <v>17</v>
      </c>
    </row>
    <row r="144" spans="1:10" x14ac:dyDescent="0.25">
      <c r="A144" s="1">
        <v>45954</v>
      </c>
      <c r="B144" t="s">
        <v>12</v>
      </c>
      <c r="C144" t="s">
        <v>13</v>
      </c>
      <c r="D144">
        <v>12</v>
      </c>
      <c r="E144">
        <v>13</v>
      </c>
      <c r="F144" t="s">
        <v>180</v>
      </c>
      <c r="G144" t="s">
        <v>180</v>
      </c>
      <c r="H144" t="s">
        <v>15</v>
      </c>
      <c r="I144" t="s">
        <v>16</v>
      </c>
      <c r="J144" t="s">
        <v>17</v>
      </c>
    </row>
    <row r="145" spans="1:10" x14ac:dyDescent="0.25">
      <c r="A145" s="1">
        <v>45954</v>
      </c>
      <c r="B145" t="s">
        <v>102</v>
      </c>
      <c r="C145" t="s">
        <v>100</v>
      </c>
      <c r="D145">
        <v>13</v>
      </c>
      <c r="E145">
        <v>13.5</v>
      </c>
      <c r="F145" t="s">
        <v>42</v>
      </c>
      <c r="G145" t="s">
        <v>42</v>
      </c>
      <c r="H145" t="s">
        <v>15</v>
      </c>
      <c r="I145" t="s">
        <v>16</v>
      </c>
      <c r="J145" t="s">
        <v>17</v>
      </c>
    </row>
    <row r="146" spans="1:10" x14ac:dyDescent="0.25">
      <c r="A146" s="1">
        <v>45954</v>
      </c>
      <c r="B146" t="s">
        <v>12</v>
      </c>
      <c r="C146" t="s">
        <v>13</v>
      </c>
      <c r="D146">
        <v>13.5</v>
      </c>
      <c r="E146">
        <v>17</v>
      </c>
      <c r="F146" t="s">
        <v>180</v>
      </c>
      <c r="G146" t="s">
        <v>180</v>
      </c>
      <c r="H146" t="s">
        <v>15</v>
      </c>
      <c r="I146" t="s">
        <v>16</v>
      </c>
      <c r="J146" t="s">
        <v>17</v>
      </c>
    </row>
    <row r="147" spans="1:10" x14ac:dyDescent="0.25">
      <c r="A147" s="1">
        <v>45954</v>
      </c>
      <c r="B147" t="s">
        <v>12</v>
      </c>
      <c r="C147" t="s">
        <v>13</v>
      </c>
      <c r="D147">
        <v>22.5</v>
      </c>
      <c r="E147">
        <v>23.25</v>
      </c>
      <c r="F147" t="s">
        <v>181</v>
      </c>
      <c r="G147" t="s">
        <v>181</v>
      </c>
      <c r="H147" t="s">
        <v>15</v>
      </c>
      <c r="I147" t="s">
        <v>16</v>
      </c>
      <c r="J147" t="s">
        <v>17</v>
      </c>
    </row>
    <row r="148" spans="1:10" x14ac:dyDescent="0.25">
      <c r="A148" s="1">
        <v>45956</v>
      </c>
      <c r="B148" t="s">
        <v>33</v>
      </c>
      <c r="C148" t="s">
        <v>34</v>
      </c>
      <c r="D148">
        <v>9</v>
      </c>
      <c r="E148">
        <v>10</v>
      </c>
      <c r="F148" t="s">
        <v>182</v>
      </c>
      <c r="G148" t="s">
        <v>182</v>
      </c>
      <c r="H148" t="s">
        <v>15</v>
      </c>
      <c r="I148" t="s">
        <v>16</v>
      </c>
      <c r="J148" t="s">
        <v>17</v>
      </c>
    </row>
    <row r="149" spans="1:10" x14ac:dyDescent="0.25">
      <c r="A149" s="1">
        <v>45957</v>
      </c>
      <c r="B149" t="s">
        <v>86</v>
      </c>
      <c r="C149" t="s">
        <v>87</v>
      </c>
      <c r="D149">
        <v>10</v>
      </c>
      <c r="E149">
        <v>11.5</v>
      </c>
      <c r="F149" t="s">
        <v>183</v>
      </c>
      <c r="G149" t="s">
        <v>183</v>
      </c>
      <c r="H149" t="s">
        <v>15</v>
      </c>
      <c r="I149" t="s">
        <v>16</v>
      </c>
      <c r="J149" t="s">
        <v>17</v>
      </c>
    </row>
    <row r="150" spans="1:10" x14ac:dyDescent="0.25">
      <c r="A150" s="1">
        <v>45957</v>
      </c>
      <c r="B150" t="s">
        <v>120</v>
      </c>
      <c r="C150" t="s">
        <v>24</v>
      </c>
      <c r="D150">
        <v>11.5</v>
      </c>
      <c r="E150">
        <v>11.75</v>
      </c>
      <c r="F150" t="s">
        <v>184</v>
      </c>
      <c r="G150" t="s">
        <v>184</v>
      </c>
      <c r="H150" t="s">
        <v>15</v>
      </c>
      <c r="I150" t="s">
        <v>16</v>
      </c>
      <c r="J150" t="s">
        <v>17</v>
      </c>
    </row>
    <row r="151" spans="1:10" x14ac:dyDescent="0.25">
      <c r="A151" s="1">
        <v>45957</v>
      </c>
      <c r="B151" t="s">
        <v>12</v>
      </c>
      <c r="C151" t="s">
        <v>13</v>
      </c>
      <c r="D151">
        <v>11.75</v>
      </c>
      <c r="E151">
        <v>12</v>
      </c>
      <c r="F151" t="s">
        <v>185</v>
      </c>
      <c r="G151" t="s">
        <v>185</v>
      </c>
      <c r="H151" t="s">
        <v>15</v>
      </c>
      <c r="I151" t="s">
        <v>16</v>
      </c>
      <c r="J151" t="s">
        <v>17</v>
      </c>
    </row>
    <row r="152" spans="1:10" x14ac:dyDescent="0.25">
      <c r="A152" s="1">
        <v>45957</v>
      </c>
      <c r="B152" t="s">
        <v>53</v>
      </c>
      <c r="C152" t="s">
        <v>54</v>
      </c>
      <c r="D152">
        <v>13</v>
      </c>
      <c r="E152">
        <v>13.25</v>
      </c>
      <c r="F152" t="s">
        <v>186</v>
      </c>
      <c r="G152" t="s">
        <v>186</v>
      </c>
      <c r="H152" t="s">
        <v>15</v>
      </c>
      <c r="I152" t="s">
        <v>16</v>
      </c>
      <c r="J152" t="s">
        <v>17</v>
      </c>
    </row>
    <row r="153" spans="1:10" x14ac:dyDescent="0.25">
      <c r="A153" s="1">
        <v>45957</v>
      </c>
      <c r="B153" t="s">
        <v>23</v>
      </c>
      <c r="C153" t="s">
        <v>24</v>
      </c>
      <c r="D153">
        <v>15</v>
      </c>
      <c r="E153">
        <v>16.75</v>
      </c>
      <c r="F153" t="s">
        <v>187</v>
      </c>
      <c r="G153" t="s">
        <v>187</v>
      </c>
      <c r="H153" t="s">
        <v>15</v>
      </c>
      <c r="I153" t="s">
        <v>16</v>
      </c>
      <c r="J153" t="s">
        <v>17</v>
      </c>
    </row>
    <row r="154" spans="1:10" x14ac:dyDescent="0.25">
      <c r="A154" s="1">
        <v>45958</v>
      </c>
      <c r="B154" t="s">
        <v>20</v>
      </c>
      <c r="C154" t="s">
        <v>21</v>
      </c>
      <c r="D154">
        <v>10</v>
      </c>
      <c r="E154">
        <v>12</v>
      </c>
      <c r="F154" t="s">
        <v>188</v>
      </c>
      <c r="G154" t="s">
        <v>188</v>
      </c>
      <c r="H154" t="s">
        <v>15</v>
      </c>
      <c r="I154" t="s">
        <v>16</v>
      </c>
      <c r="J154" t="s">
        <v>17</v>
      </c>
    </row>
    <row r="155" spans="1:10" x14ac:dyDescent="0.25">
      <c r="A155" s="1">
        <v>45958</v>
      </c>
      <c r="B155" t="s">
        <v>96</v>
      </c>
      <c r="C155" t="s">
        <v>97</v>
      </c>
      <c r="D155">
        <v>11.5</v>
      </c>
      <c r="E155">
        <v>11.75</v>
      </c>
      <c r="F155" t="s">
        <v>71</v>
      </c>
      <c r="G155" t="s">
        <v>71</v>
      </c>
      <c r="H155" t="s">
        <v>15</v>
      </c>
      <c r="I155" t="s">
        <v>16</v>
      </c>
      <c r="J155" t="s">
        <v>17</v>
      </c>
    </row>
    <row r="156" spans="1:10" x14ac:dyDescent="0.25">
      <c r="A156" s="1">
        <v>45958</v>
      </c>
      <c r="B156" t="s">
        <v>152</v>
      </c>
      <c r="C156" t="s">
        <v>151</v>
      </c>
      <c r="D156">
        <v>13</v>
      </c>
      <c r="E156">
        <v>13.75</v>
      </c>
      <c r="F156" t="s">
        <v>189</v>
      </c>
      <c r="G156" t="s">
        <v>189</v>
      </c>
      <c r="H156" t="s">
        <v>15</v>
      </c>
      <c r="I156" t="s">
        <v>16</v>
      </c>
      <c r="J156" t="s">
        <v>17</v>
      </c>
    </row>
    <row r="157" spans="1:10" x14ac:dyDescent="0.25">
      <c r="A157" s="1">
        <v>45958</v>
      </c>
      <c r="B157" t="s">
        <v>23</v>
      </c>
      <c r="C157" t="s">
        <v>24</v>
      </c>
      <c r="D157">
        <v>14</v>
      </c>
      <c r="E157">
        <v>17</v>
      </c>
      <c r="F157" t="s">
        <v>190</v>
      </c>
      <c r="G157" t="s">
        <v>190</v>
      </c>
      <c r="H157" t="s">
        <v>15</v>
      </c>
      <c r="I157" t="s">
        <v>16</v>
      </c>
      <c r="J157" t="s">
        <v>17</v>
      </c>
    </row>
    <row r="158" spans="1:10" x14ac:dyDescent="0.25">
      <c r="A158" s="1">
        <v>45959</v>
      </c>
      <c r="B158" t="s">
        <v>23</v>
      </c>
      <c r="C158" t="s">
        <v>24</v>
      </c>
      <c r="D158">
        <v>8.5</v>
      </c>
      <c r="E158">
        <v>9.5</v>
      </c>
      <c r="F158" t="s">
        <v>191</v>
      </c>
      <c r="G158" t="s">
        <v>191</v>
      </c>
      <c r="H158" t="s">
        <v>15</v>
      </c>
      <c r="I158" t="s">
        <v>16</v>
      </c>
      <c r="J158" t="s">
        <v>17</v>
      </c>
    </row>
    <row r="159" spans="1:10" x14ac:dyDescent="0.25">
      <c r="A159" s="1">
        <v>45959</v>
      </c>
      <c r="B159" t="s">
        <v>96</v>
      </c>
      <c r="C159" t="s">
        <v>97</v>
      </c>
      <c r="D159">
        <v>9.5</v>
      </c>
      <c r="E159">
        <v>9.75</v>
      </c>
      <c r="F159" t="s">
        <v>192</v>
      </c>
      <c r="G159" t="s">
        <v>192</v>
      </c>
      <c r="H159" t="s">
        <v>15</v>
      </c>
      <c r="I159" t="s">
        <v>16</v>
      </c>
      <c r="J159" t="s">
        <v>17</v>
      </c>
    </row>
    <row r="160" spans="1:10" x14ac:dyDescent="0.25">
      <c r="A160" s="1">
        <v>45959</v>
      </c>
      <c r="B160" t="s">
        <v>33</v>
      </c>
      <c r="C160" t="s">
        <v>34</v>
      </c>
      <c r="D160">
        <v>9.7200000000000006</v>
      </c>
      <c r="E160">
        <v>10.25</v>
      </c>
      <c r="F160" t="s">
        <v>193</v>
      </c>
      <c r="G160" t="s">
        <v>193</v>
      </c>
      <c r="H160" t="s">
        <v>15</v>
      </c>
      <c r="I160" t="s">
        <v>16</v>
      </c>
      <c r="J160" t="s">
        <v>17</v>
      </c>
    </row>
    <row r="161" spans="1:10" x14ac:dyDescent="0.25">
      <c r="A161" s="1">
        <v>45959</v>
      </c>
      <c r="D161">
        <v>10.25</v>
      </c>
      <c r="E161">
        <v>15.5</v>
      </c>
      <c r="F161" t="s">
        <v>199</v>
      </c>
      <c r="G161" t="s">
        <v>199</v>
      </c>
      <c r="H161" t="s">
        <v>15</v>
      </c>
      <c r="I161" t="s">
        <v>65</v>
      </c>
      <c r="J161" t="s">
        <v>17</v>
      </c>
    </row>
    <row r="162" spans="1:10" x14ac:dyDescent="0.25">
      <c r="A162" s="1">
        <v>45959</v>
      </c>
      <c r="B162" t="s">
        <v>23</v>
      </c>
      <c r="C162" t="s">
        <v>24</v>
      </c>
      <c r="D162">
        <v>16.5</v>
      </c>
      <c r="E162">
        <v>17</v>
      </c>
      <c r="F162" t="s">
        <v>191</v>
      </c>
      <c r="G162" t="s">
        <v>191</v>
      </c>
      <c r="H162" t="s">
        <v>15</v>
      </c>
      <c r="I162" t="s">
        <v>16</v>
      </c>
      <c r="J162" t="s">
        <v>17</v>
      </c>
    </row>
    <row r="163" spans="1:10" x14ac:dyDescent="0.25">
      <c r="A163" s="1">
        <v>45960</v>
      </c>
      <c r="B163" t="s">
        <v>152</v>
      </c>
      <c r="C163" t="s">
        <v>151</v>
      </c>
      <c r="D163">
        <v>10.5</v>
      </c>
      <c r="E163">
        <v>10.75</v>
      </c>
      <c r="F163" t="s">
        <v>200</v>
      </c>
      <c r="G163" t="s">
        <v>56</v>
      </c>
      <c r="H163" t="s">
        <v>15</v>
      </c>
      <c r="I163" t="s">
        <v>16</v>
      </c>
      <c r="J163" t="s">
        <v>17</v>
      </c>
    </row>
    <row r="164" spans="1:10" x14ac:dyDescent="0.25">
      <c r="A164" s="1">
        <v>45960</v>
      </c>
      <c r="B164" t="s">
        <v>86</v>
      </c>
      <c r="C164" t="s">
        <v>87</v>
      </c>
      <c r="D164">
        <v>10.75</v>
      </c>
      <c r="E164">
        <v>11</v>
      </c>
      <c r="F164" t="s">
        <v>201</v>
      </c>
      <c r="G164" t="s">
        <v>201</v>
      </c>
      <c r="H164" t="s">
        <v>15</v>
      </c>
      <c r="I164" t="s">
        <v>16</v>
      </c>
      <c r="J164" t="s">
        <v>17</v>
      </c>
    </row>
    <row r="165" spans="1:10" x14ac:dyDescent="0.25">
      <c r="A165" s="1">
        <v>45960</v>
      </c>
      <c r="B165" t="s">
        <v>20</v>
      </c>
      <c r="C165" t="s">
        <v>21</v>
      </c>
      <c r="D165">
        <v>11</v>
      </c>
      <c r="E165">
        <v>11.25</v>
      </c>
      <c r="F165" t="s">
        <v>202</v>
      </c>
      <c r="G165" t="s">
        <v>202</v>
      </c>
      <c r="H165" t="s">
        <v>15</v>
      </c>
      <c r="I165" t="s">
        <v>16</v>
      </c>
      <c r="J165" t="s">
        <v>17</v>
      </c>
    </row>
    <row r="166" spans="1:10" x14ac:dyDescent="0.25">
      <c r="A166" s="1">
        <v>45960</v>
      </c>
      <c r="B166" t="s">
        <v>23</v>
      </c>
      <c r="C166" t="s">
        <v>24</v>
      </c>
      <c r="D166">
        <v>14</v>
      </c>
      <c r="E166">
        <v>15</v>
      </c>
      <c r="F166" t="s">
        <v>203</v>
      </c>
      <c r="G166" t="s">
        <v>203</v>
      </c>
      <c r="H166" t="s">
        <v>15</v>
      </c>
      <c r="I166" t="s">
        <v>16</v>
      </c>
      <c r="J166" t="s">
        <v>17</v>
      </c>
    </row>
    <row r="167" spans="1:10" x14ac:dyDescent="0.25">
      <c r="A167" s="1">
        <v>45960</v>
      </c>
      <c r="B167" t="s">
        <v>86</v>
      </c>
      <c r="C167" t="s">
        <v>87</v>
      </c>
      <c r="D167">
        <v>15</v>
      </c>
      <c r="E167">
        <v>15.5</v>
      </c>
      <c r="F167" t="s">
        <v>204</v>
      </c>
      <c r="G167" t="s">
        <v>204</v>
      </c>
      <c r="H167" t="s">
        <v>15</v>
      </c>
      <c r="I167" t="s">
        <v>16</v>
      </c>
      <c r="J167" t="s">
        <v>17</v>
      </c>
    </row>
    <row r="168" spans="1:10" x14ac:dyDescent="0.25">
      <c r="A168" s="1">
        <v>45960</v>
      </c>
      <c r="B168" t="s">
        <v>39</v>
      </c>
      <c r="C168" t="s">
        <v>40</v>
      </c>
      <c r="D168">
        <v>15.5</v>
      </c>
      <c r="E168">
        <v>16</v>
      </c>
      <c r="F168" t="s">
        <v>205</v>
      </c>
      <c r="G168" t="s">
        <v>205</v>
      </c>
      <c r="H168" t="s">
        <v>15</v>
      </c>
      <c r="I168" t="s">
        <v>16</v>
      </c>
      <c r="J168" t="s">
        <v>17</v>
      </c>
    </row>
    <row r="169" spans="1:10" x14ac:dyDescent="0.25">
      <c r="A169" s="1">
        <v>45960</v>
      </c>
      <c r="B169" t="s">
        <v>23</v>
      </c>
      <c r="C169" t="s">
        <v>24</v>
      </c>
      <c r="D169">
        <v>16</v>
      </c>
      <c r="E169">
        <v>17</v>
      </c>
      <c r="F169" t="s">
        <v>191</v>
      </c>
      <c r="G169" t="s">
        <v>191</v>
      </c>
      <c r="H169" t="s">
        <v>15</v>
      </c>
      <c r="I169" t="s">
        <v>16</v>
      </c>
      <c r="J169" t="s">
        <v>17</v>
      </c>
    </row>
    <row r="170" spans="1:10" x14ac:dyDescent="0.25">
      <c r="A170" s="1">
        <v>45961</v>
      </c>
      <c r="B170" t="s">
        <v>23</v>
      </c>
      <c r="C170" t="s">
        <v>24</v>
      </c>
      <c r="D170">
        <v>10</v>
      </c>
      <c r="E170">
        <v>12.25</v>
      </c>
      <c r="F170" t="s">
        <v>191</v>
      </c>
      <c r="G170" t="s">
        <v>191</v>
      </c>
      <c r="H170" t="s">
        <v>15</v>
      </c>
      <c r="I170" t="s">
        <v>16</v>
      </c>
      <c r="J170" t="s">
        <v>17</v>
      </c>
    </row>
    <row r="171" spans="1:10" x14ac:dyDescent="0.25">
      <c r="A171" s="1">
        <v>45961</v>
      </c>
      <c r="B171" t="s">
        <v>18</v>
      </c>
      <c r="C171" t="s">
        <v>11</v>
      </c>
      <c r="D171">
        <v>12.5</v>
      </c>
      <c r="E171">
        <v>13.25</v>
      </c>
      <c r="F171" t="s">
        <v>56</v>
      </c>
      <c r="G171" t="s">
        <v>56</v>
      </c>
      <c r="H171" t="s">
        <v>15</v>
      </c>
      <c r="I171" t="s">
        <v>16</v>
      </c>
      <c r="J171" t="s">
        <v>17</v>
      </c>
    </row>
    <row r="172" spans="1:10" x14ac:dyDescent="0.25">
      <c r="A172" s="1">
        <v>45961</v>
      </c>
      <c r="B172" t="s">
        <v>152</v>
      </c>
      <c r="C172" t="s">
        <v>151</v>
      </c>
      <c r="D172">
        <v>13.5</v>
      </c>
      <c r="E172">
        <v>14</v>
      </c>
      <c r="F172" t="s">
        <v>206</v>
      </c>
      <c r="G172" t="s">
        <v>206</v>
      </c>
      <c r="H172" t="s">
        <v>15</v>
      </c>
      <c r="I172" t="s">
        <v>16</v>
      </c>
      <c r="J172" t="s">
        <v>17</v>
      </c>
    </row>
    <row r="173" spans="1:10" x14ac:dyDescent="0.25">
      <c r="A173" s="1">
        <v>45961</v>
      </c>
      <c r="B173" t="s">
        <v>53</v>
      </c>
      <c r="C173" t="s">
        <v>54</v>
      </c>
      <c r="D173">
        <v>14</v>
      </c>
      <c r="E173">
        <v>16</v>
      </c>
      <c r="F173" t="s">
        <v>207</v>
      </c>
      <c r="G173" t="s">
        <v>207</v>
      </c>
      <c r="H173" t="s">
        <v>15</v>
      </c>
      <c r="I173" t="s">
        <v>16</v>
      </c>
      <c r="J173" t="s">
        <v>17</v>
      </c>
    </row>
    <row r="174" spans="1:10" x14ac:dyDescent="0.25">
      <c r="A174" s="1">
        <v>45964</v>
      </c>
      <c r="B174" t="s">
        <v>102</v>
      </c>
      <c r="C174" t="s">
        <v>100</v>
      </c>
      <c r="D174">
        <v>9</v>
      </c>
      <c r="E174">
        <v>11</v>
      </c>
      <c r="F174" t="s">
        <v>82</v>
      </c>
      <c r="G174" t="s">
        <v>82</v>
      </c>
      <c r="H174" t="s">
        <v>15</v>
      </c>
      <c r="I174" t="s">
        <v>16</v>
      </c>
      <c r="J174" t="s">
        <v>17</v>
      </c>
    </row>
    <row r="175" spans="1:10" x14ac:dyDescent="0.25">
      <c r="A175" s="1">
        <v>45964</v>
      </c>
      <c r="B175" t="s">
        <v>208</v>
      </c>
      <c r="C175" t="s">
        <v>209</v>
      </c>
      <c r="D175">
        <v>13</v>
      </c>
      <c r="E175">
        <v>14</v>
      </c>
      <c r="F175" t="s">
        <v>129</v>
      </c>
      <c r="G175" t="s">
        <v>129</v>
      </c>
      <c r="H175" t="s">
        <v>15</v>
      </c>
      <c r="I175" t="s">
        <v>16</v>
      </c>
      <c r="J175" t="s">
        <v>17</v>
      </c>
    </row>
  </sheetData>
  <dataValidations count="2">
    <dataValidation type="list" allowBlank="1" showInputMessage="1" showErrorMessage="1" sqref="B2:B6 B176:B1048576" xr:uid="{1CE46D76-108D-4DF7-8926-9030D6709737}">
      <formula1>CompanyList</formula1>
    </dataValidation>
    <dataValidation type="list" allowBlank="1" showInputMessage="1" showErrorMessage="1" sqref="C7:C175" xr:uid="{9F3FC438-E663-4086-88DA-CA70CBC6A0CA}">
      <formula1>INDIRECT("M"&amp;ROW()&amp;":Z"&amp;ROW())</formula1>
    </dataValidation>
  </dataValidations>
  <hyperlinks>
    <hyperlink ref="B5" r:id="rId1" display="https://sentinel.service-now.com/core_company.do?sys_id=d30a30afc3091610287f2130a001319a" xr:uid="{2AF42F3B-7373-4CCB-81E2-CBD0A8A6188B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3BF081C-4FB1-4C0B-988A-3D09CE9F4036}">
          <x14:formula1>
            <xm:f>'Data Validation'!$B$2:$B$3</xm:f>
          </x14:formula1>
          <xm:sqref>J11:J175</xm:sqref>
        </x14:dataValidation>
        <x14:dataValidation type="list" allowBlank="1" showInputMessage="1" showErrorMessage="1" xr:uid="{3F64DF96-1E7C-4A6A-854B-8AA6B3634961}">
          <x14:formula1>
            <xm:f>'Data Validation'!$A$2:$A$7</xm:f>
          </x14:formula1>
          <xm:sqref>I11:I175</xm:sqref>
        </x14:dataValidation>
        <x14:dataValidation type="list" allowBlank="1" showInputMessage="1" showErrorMessage="1" xr:uid="{CF21D9E0-F954-41B3-A4B1-AB99511A74CF}">
          <x14:formula1>
            <xm:f>'Active Projects'!$A$2:$A$110</xm:f>
          </x14:formula1>
          <xm:sqref>B7:B175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5D39-2799-4EBB-BB19-C00AEF20D1A7}">
  <dimension ref="A1:E29"/>
  <sheetViews>
    <sheetView workbookViewId="0">
      <selection activeCell="B30" sqref="B30"/>
    </sheetView>
  </sheetViews>
  <sheetFormatPr defaultRowHeight="15" x14ac:dyDescent="0.25"/>
  <cols>
    <col min="1" max="1" width="23.7109375" bestFit="1" customWidth="1"/>
    <col min="2" max="2" width="66.140625" customWidth="1"/>
  </cols>
  <sheetData>
    <row r="1" spans="1:5" x14ac:dyDescent="0.25">
      <c r="A1" s="4" t="s">
        <v>1</v>
      </c>
      <c r="B1" s="4" t="s">
        <v>29</v>
      </c>
      <c r="C1" s="4" t="s">
        <v>106</v>
      </c>
      <c r="D1" s="4" t="s">
        <v>196</v>
      </c>
      <c r="E1" s="4" t="s">
        <v>198</v>
      </c>
    </row>
    <row r="2" spans="1:5" x14ac:dyDescent="0.25">
      <c r="A2" t="s">
        <v>18</v>
      </c>
      <c r="B2" t="s">
        <v>11</v>
      </c>
      <c r="C2" t="s">
        <v>111</v>
      </c>
    </row>
    <row r="3" spans="1:5" x14ac:dyDescent="0.25">
      <c r="A3" t="s">
        <v>208</v>
      </c>
      <c r="B3" s="3" t="s">
        <v>209</v>
      </c>
      <c r="C3" t="s">
        <v>118</v>
      </c>
      <c r="D3" t="s">
        <v>210</v>
      </c>
    </row>
    <row r="4" spans="1:5" x14ac:dyDescent="0.25">
      <c r="A4" t="s">
        <v>86</v>
      </c>
      <c r="B4" s="3" t="s">
        <v>87</v>
      </c>
      <c r="C4" t="s">
        <v>118</v>
      </c>
    </row>
    <row r="5" spans="1:5" x14ac:dyDescent="0.25">
      <c r="A5" t="s">
        <v>86</v>
      </c>
      <c r="B5" s="3" t="s">
        <v>133</v>
      </c>
      <c r="C5" t="s">
        <v>118</v>
      </c>
    </row>
    <row r="6" spans="1:5" x14ac:dyDescent="0.25">
      <c r="A6" t="s">
        <v>37</v>
      </c>
      <c r="B6" t="s">
        <v>38</v>
      </c>
      <c r="C6" t="s">
        <v>107</v>
      </c>
    </row>
    <row r="7" spans="1:5" x14ac:dyDescent="0.25">
      <c r="A7" t="s">
        <v>152</v>
      </c>
      <c r="B7" t="s">
        <v>151</v>
      </c>
      <c r="C7" t="s">
        <v>115</v>
      </c>
    </row>
    <row r="8" spans="1:5" x14ac:dyDescent="0.25">
      <c r="A8" t="s">
        <v>23</v>
      </c>
      <c r="B8" t="s">
        <v>24</v>
      </c>
      <c r="C8" t="s">
        <v>112</v>
      </c>
    </row>
    <row r="9" spans="1:5" x14ac:dyDescent="0.25">
      <c r="A9" t="s">
        <v>102</v>
      </c>
      <c r="B9" s="3" t="s">
        <v>100</v>
      </c>
      <c r="C9" t="s">
        <v>108</v>
      </c>
    </row>
    <row r="10" spans="1:5" x14ac:dyDescent="0.25">
      <c r="A10" t="s">
        <v>102</v>
      </c>
      <c r="B10" s="3" t="s">
        <v>101</v>
      </c>
      <c r="C10" t="s">
        <v>108</v>
      </c>
    </row>
    <row r="11" spans="1:5" x14ac:dyDescent="0.25">
      <c r="A11" t="s">
        <v>53</v>
      </c>
      <c r="B11" t="s">
        <v>54</v>
      </c>
      <c r="C11" t="s">
        <v>114</v>
      </c>
    </row>
    <row r="12" spans="1:5" x14ac:dyDescent="0.25">
      <c r="A12" t="s">
        <v>26</v>
      </c>
      <c r="B12" t="s">
        <v>26</v>
      </c>
    </row>
    <row r="13" spans="1:5" x14ac:dyDescent="0.25">
      <c r="A13" t="s">
        <v>96</v>
      </c>
      <c r="B13" t="s">
        <v>97</v>
      </c>
      <c r="C13" t="s">
        <v>109</v>
      </c>
    </row>
    <row r="14" spans="1:5" x14ac:dyDescent="0.25">
      <c r="A14" t="s">
        <v>135</v>
      </c>
      <c r="B14" s="3" t="s">
        <v>136</v>
      </c>
      <c r="C14" t="s">
        <v>137</v>
      </c>
    </row>
    <row r="15" spans="1:5" x14ac:dyDescent="0.25">
      <c r="A15" t="s">
        <v>194</v>
      </c>
      <c r="B15" s="3" t="s">
        <v>195</v>
      </c>
      <c r="C15" t="s">
        <v>118</v>
      </c>
      <c r="D15" t="s">
        <v>197</v>
      </c>
    </row>
    <row r="16" spans="1:5" x14ac:dyDescent="0.25">
      <c r="A16" t="s">
        <v>20</v>
      </c>
      <c r="B16" t="s">
        <v>21</v>
      </c>
      <c r="C16" t="s">
        <v>113</v>
      </c>
    </row>
    <row r="17" spans="1:5" x14ac:dyDescent="0.25">
      <c r="A17" t="s">
        <v>28</v>
      </c>
      <c r="B17" t="s">
        <v>28</v>
      </c>
    </row>
    <row r="18" spans="1:5" x14ac:dyDescent="0.25">
      <c r="A18" t="s">
        <v>31</v>
      </c>
      <c r="B18" t="s">
        <v>32</v>
      </c>
      <c r="C18" t="s">
        <v>115</v>
      </c>
    </row>
    <row r="19" spans="1:5" x14ac:dyDescent="0.25">
      <c r="A19" t="s">
        <v>39</v>
      </c>
      <c r="B19" t="s">
        <v>40</v>
      </c>
      <c r="C19" t="s">
        <v>107</v>
      </c>
    </row>
    <row r="20" spans="1:5" x14ac:dyDescent="0.25">
      <c r="A20" t="s">
        <v>121</v>
      </c>
      <c r="B20" t="s">
        <v>21</v>
      </c>
      <c r="C20" t="s">
        <v>113</v>
      </c>
    </row>
    <row r="21" spans="1:5" x14ac:dyDescent="0.25">
      <c r="A21" t="s">
        <v>211</v>
      </c>
      <c r="B21" s="3" t="s">
        <v>212</v>
      </c>
      <c r="C21" t="s">
        <v>137</v>
      </c>
    </row>
    <row r="22" spans="1:5" x14ac:dyDescent="0.25">
      <c r="A22" t="s">
        <v>211</v>
      </c>
      <c r="B22" s="3" t="s">
        <v>213</v>
      </c>
      <c r="C22" t="s">
        <v>137</v>
      </c>
    </row>
    <row r="23" spans="1:5" x14ac:dyDescent="0.25">
      <c r="A23" t="s">
        <v>12</v>
      </c>
      <c r="B23" t="s">
        <v>13</v>
      </c>
      <c r="C23" t="s">
        <v>116</v>
      </c>
    </row>
    <row r="24" spans="1:5" x14ac:dyDescent="0.25">
      <c r="A24" t="s">
        <v>35</v>
      </c>
      <c r="B24" t="s">
        <v>36</v>
      </c>
      <c r="C24" t="s">
        <v>115</v>
      </c>
    </row>
    <row r="25" spans="1:5" x14ac:dyDescent="0.25">
      <c r="A25" t="s">
        <v>33</v>
      </c>
      <c r="B25" t="s">
        <v>34</v>
      </c>
      <c r="C25" t="s">
        <v>117</v>
      </c>
    </row>
    <row r="26" spans="1:5" x14ac:dyDescent="0.25">
      <c r="A26" t="s">
        <v>23</v>
      </c>
      <c r="B26" s="3" t="s">
        <v>221</v>
      </c>
      <c r="C26" t="s">
        <v>112</v>
      </c>
      <c r="D26" t="s">
        <v>210</v>
      </c>
    </row>
    <row r="27" spans="1:5" x14ac:dyDescent="0.25">
      <c r="A27" t="s">
        <v>238</v>
      </c>
      <c r="B27" s="6" t="s">
        <v>239</v>
      </c>
      <c r="C27" t="s">
        <v>241</v>
      </c>
    </row>
    <row r="28" spans="1:5" x14ac:dyDescent="0.25">
      <c r="A28" t="s">
        <v>238</v>
      </c>
      <c r="B28" s="7" t="s">
        <v>240</v>
      </c>
      <c r="C28" t="s">
        <v>241</v>
      </c>
      <c r="D28" t="s">
        <v>243</v>
      </c>
      <c r="E28" t="s">
        <v>242</v>
      </c>
    </row>
    <row r="29" spans="1:5" x14ac:dyDescent="0.25">
      <c r="A29" t="s">
        <v>250</v>
      </c>
      <c r="B29" s="3" t="s">
        <v>195</v>
      </c>
      <c r="C29" t="s">
        <v>118</v>
      </c>
      <c r="D29" t="s">
        <v>197</v>
      </c>
    </row>
  </sheetData>
  <sortState xmlns:xlrd2="http://schemas.microsoft.com/office/spreadsheetml/2017/richdata2" ref="A2:D25">
    <sortCondition ref="A2:A2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893F-75C4-48A4-9A4B-CC26CA6FA1C5}">
  <dimension ref="A1:B8"/>
  <sheetViews>
    <sheetView workbookViewId="0">
      <selection activeCell="B3" sqref="B3"/>
    </sheetView>
  </sheetViews>
  <sheetFormatPr defaultRowHeight="15" x14ac:dyDescent="0.25"/>
  <cols>
    <col min="1" max="1" width="23.285156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16</v>
      </c>
      <c r="B2" t="s">
        <v>17</v>
      </c>
    </row>
    <row r="3" spans="1:2" x14ac:dyDescent="0.25">
      <c r="A3" t="s">
        <v>65</v>
      </c>
      <c r="B3" t="s">
        <v>48</v>
      </c>
    </row>
    <row r="4" spans="1:2" x14ac:dyDescent="0.25">
      <c r="A4" t="s">
        <v>45</v>
      </c>
    </row>
    <row r="5" spans="1:2" x14ac:dyDescent="0.25">
      <c r="A5" t="s">
        <v>28</v>
      </c>
    </row>
    <row r="6" spans="1:2" x14ac:dyDescent="0.25">
      <c r="A6" t="s">
        <v>46</v>
      </c>
    </row>
    <row r="7" spans="1:2" x14ac:dyDescent="0.25">
      <c r="A7" t="s">
        <v>47</v>
      </c>
    </row>
    <row r="8" spans="1:2" x14ac:dyDescent="0.25">
      <c r="A8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db3e55-2752-45d4-865c-0b9390525b6c}" enabled="1" method="Standard" siteId="{6d7e2966-adf8-4593-9945-d9ec3af61a7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 Tracking</vt:lpstr>
      <vt:lpstr>Archive</vt:lpstr>
      <vt:lpstr>Active Projects</vt:lpstr>
      <vt:lpstr>Data Validation</vt:lpstr>
    </vt:vector>
  </TitlesOfParts>
  <Company>Sentinel Technologies,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Lake</dc:creator>
  <cp:lastModifiedBy>Jonathan Lake</cp:lastModifiedBy>
  <dcterms:created xsi:type="dcterms:W3CDTF">2025-09-22T18:07:55Z</dcterms:created>
  <dcterms:modified xsi:type="dcterms:W3CDTF">2026-06-30T19:53:08Z</dcterms:modified>
</cp:coreProperties>
</file>